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/Users/rite_nuto/Library/CloudStorage/GoogleDrive-ritenuto38@gmail.com/Мой диск/__Сметы_Артёма/2026_08_15 ПОБ_Беседка_Банкет/"/>
    </mc:Choice>
  </mc:AlternateContent>
  <xr:revisionPtr revIDLastSave="0" documentId="13_ncr:1_{2C721555-0942-2246-B6E1-5AFAE767A5A3}" xr6:coauthVersionLast="47" xr6:coauthVersionMax="47" xr10:uidLastSave="{00000000-0000-0000-0000-000000000000}"/>
  <bookViews>
    <workbookView xWindow="40" yWindow="14200" windowWidth="30240" windowHeight="17600" xr2:uid="{EC19C175-92C0-FB4F-BDDD-EA3BF51F7D26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" i="1" l="1"/>
  <c r="G44" i="1" s="1"/>
  <c r="F45" i="1"/>
  <c r="F144" i="1"/>
  <c r="F161" i="1"/>
  <c r="G161" i="1" s="1"/>
  <c r="G165" i="1"/>
  <c r="E14" i="1"/>
  <c r="F209" i="1"/>
  <c r="G209" i="1" s="1"/>
  <c r="E209" i="1"/>
  <c r="F208" i="1"/>
  <c r="G208" i="1" s="1"/>
  <c r="E208" i="1"/>
  <c r="F207" i="1"/>
  <c r="G207" i="1" s="1"/>
  <c r="E207" i="1"/>
  <c r="F206" i="1"/>
  <c r="E206" i="1"/>
  <c r="F205" i="1"/>
  <c r="G205" i="1" s="1"/>
  <c r="E205" i="1"/>
  <c r="F204" i="1"/>
  <c r="E204" i="1"/>
  <c r="F203" i="1"/>
  <c r="G203" i="1" s="1"/>
  <c r="E203" i="1"/>
  <c r="F202" i="1"/>
  <c r="G202" i="1" s="1"/>
  <c r="E202" i="1"/>
  <c r="F201" i="1"/>
  <c r="G201" i="1" s="1"/>
  <c r="E201" i="1"/>
  <c r="F200" i="1"/>
  <c r="G200" i="1" s="1"/>
  <c r="E200" i="1"/>
  <c r="F199" i="1"/>
  <c r="E199" i="1"/>
  <c r="F198" i="1"/>
  <c r="G198" i="1" s="1"/>
  <c r="E198" i="1"/>
  <c r="F197" i="1"/>
  <c r="E197" i="1"/>
  <c r="F196" i="1"/>
  <c r="G196" i="1" s="1"/>
  <c r="E196" i="1"/>
  <c r="G195" i="1"/>
  <c r="E195" i="1"/>
  <c r="H195" i="1" s="1"/>
  <c r="E192" i="1"/>
  <c r="F191" i="1"/>
  <c r="G191" i="1" s="1"/>
  <c r="E191" i="1"/>
  <c r="F190" i="1"/>
  <c r="G190" i="1" s="1"/>
  <c r="E190" i="1"/>
  <c r="F187" i="1"/>
  <c r="G187" i="1" s="1"/>
  <c r="E187" i="1"/>
  <c r="F186" i="1"/>
  <c r="E186" i="1"/>
  <c r="F185" i="1"/>
  <c r="E185" i="1"/>
  <c r="F184" i="1"/>
  <c r="E184" i="1"/>
  <c r="F183" i="1"/>
  <c r="G183" i="1" s="1"/>
  <c r="E183" i="1"/>
  <c r="F182" i="1"/>
  <c r="G182" i="1" s="1"/>
  <c r="E182" i="1"/>
  <c r="F179" i="1"/>
  <c r="G179" i="1" s="1"/>
  <c r="E179" i="1"/>
  <c r="F178" i="1"/>
  <c r="G178" i="1" s="1"/>
  <c r="E178" i="1"/>
  <c r="F177" i="1"/>
  <c r="E177" i="1"/>
  <c r="F176" i="1"/>
  <c r="E176" i="1"/>
  <c r="F175" i="1"/>
  <c r="G175" i="1" s="1"/>
  <c r="E175" i="1"/>
  <c r="F172" i="1"/>
  <c r="E172" i="1"/>
  <c r="F171" i="1"/>
  <c r="G171" i="1" s="1"/>
  <c r="E171" i="1"/>
  <c r="F170" i="1"/>
  <c r="E170" i="1"/>
  <c r="F169" i="1"/>
  <c r="E169" i="1"/>
  <c r="F168" i="1"/>
  <c r="E168" i="1"/>
  <c r="E165" i="1"/>
  <c r="H165" i="1" s="1"/>
  <c r="G164" i="1"/>
  <c r="E164" i="1"/>
  <c r="H164" i="1" s="1"/>
  <c r="G163" i="1"/>
  <c r="E163" i="1"/>
  <c r="H163" i="1" s="1"/>
  <c r="F162" i="1"/>
  <c r="G162" i="1" s="1"/>
  <c r="E162" i="1"/>
  <c r="E161" i="1"/>
  <c r="F160" i="1"/>
  <c r="G160" i="1" s="1"/>
  <c r="E160" i="1"/>
  <c r="F159" i="1"/>
  <c r="G159" i="1" s="1"/>
  <c r="E159" i="1"/>
  <c r="F158" i="1"/>
  <c r="G158" i="1" s="1"/>
  <c r="E158" i="1"/>
  <c r="F157" i="1"/>
  <c r="G157" i="1" s="1"/>
  <c r="E157" i="1"/>
  <c r="H157" i="1" s="1"/>
  <c r="F156" i="1"/>
  <c r="G156" i="1" s="1"/>
  <c r="E156" i="1"/>
  <c r="F155" i="1"/>
  <c r="G155" i="1" s="1"/>
  <c r="E155" i="1"/>
  <c r="F154" i="1"/>
  <c r="G154" i="1" s="1"/>
  <c r="E154" i="1"/>
  <c r="F153" i="1"/>
  <c r="G153" i="1" s="1"/>
  <c r="E153" i="1"/>
  <c r="F152" i="1"/>
  <c r="G152" i="1" s="1"/>
  <c r="E152" i="1"/>
  <c r="F151" i="1"/>
  <c r="G151" i="1" s="1"/>
  <c r="E151" i="1"/>
  <c r="F150" i="1"/>
  <c r="G150" i="1" s="1"/>
  <c r="E150" i="1"/>
  <c r="H150" i="1" s="1"/>
  <c r="F149" i="1"/>
  <c r="G149" i="1" s="1"/>
  <c r="E149" i="1"/>
  <c r="F148" i="1"/>
  <c r="G148" i="1" s="1"/>
  <c r="E148" i="1"/>
  <c r="F147" i="1"/>
  <c r="G147" i="1" s="1"/>
  <c r="E147" i="1"/>
  <c r="F146" i="1"/>
  <c r="G146" i="1" s="1"/>
  <c r="E146" i="1"/>
  <c r="G145" i="1"/>
  <c r="E145" i="1"/>
  <c r="G144" i="1"/>
  <c r="E144" i="1"/>
  <c r="F143" i="1"/>
  <c r="G143" i="1" s="1"/>
  <c r="E143" i="1"/>
  <c r="H143" i="1" s="1"/>
  <c r="F142" i="1"/>
  <c r="G142" i="1" s="1"/>
  <c r="E142" i="1"/>
  <c r="G141" i="1"/>
  <c r="E141" i="1"/>
  <c r="F140" i="1"/>
  <c r="G140" i="1" s="1"/>
  <c r="E140" i="1"/>
  <c r="F139" i="1"/>
  <c r="G139" i="1" s="1"/>
  <c r="E139" i="1"/>
  <c r="F138" i="1"/>
  <c r="G138" i="1" s="1"/>
  <c r="E138" i="1"/>
  <c r="F137" i="1"/>
  <c r="G137" i="1" s="1"/>
  <c r="E137" i="1"/>
  <c r="F136" i="1"/>
  <c r="G136" i="1" s="1"/>
  <c r="E136" i="1"/>
  <c r="H136" i="1" s="1"/>
  <c r="F135" i="1"/>
  <c r="G135" i="1" s="1"/>
  <c r="E135" i="1"/>
  <c r="F134" i="1"/>
  <c r="G134" i="1" s="1"/>
  <c r="E134" i="1"/>
  <c r="F133" i="1"/>
  <c r="G133" i="1" s="1"/>
  <c r="E133" i="1"/>
  <c r="F132" i="1"/>
  <c r="G132" i="1" s="1"/>
  <c r="E132" i="1"/>
  <c r="F129" i="1"/>
  <c r="G129" i="1" s="1"/>
  <c r="E129" i="1"/>
  <c r="F128" i="1"/>
  <c r="E128" i="1"/>
  <c r="F127" i="1"/>
  <c r="G127" i="1" s="1"/>
  <c r="E127" i="1"/>
  <c r="F126" i="1"/>
  <c r="E126" i="1"/>
  <c r="F125" i="1"/>
  <c r="E125" i="1"/>
  <c r="F124" i="1"/>
  <c r="E124" i="1"/>
  <c r="G121" i="1"/>
  <c r="E121" i="1"/>
  <c r="E120" i="1"/>
  <c r="F119" i="1"/>
  <c r="G119" i="1" s="1"/>
  <c r="E119" i="1"/>
  <c r="F118" i="1"/>
  <c r="E118" i="1"/>
  <c r="F117" i="1"/>
  <c r="E117" i="1"/>
  <c r="F116" i="1"/>
  <c r="G116" i="1" s="1"/>
  <c r="E116" i="1"/>
  <c r="F115" i="1"/>
  <c r="G115" i="1" s="1"/>
  <c r="E115" i="1"/>
  <c r="F114" i="1"/>
  <c r="G114" i="1" s="1"/>
  <c r="E114" i="1"/>
  <c r="F113" i="1"/>
  <c r="E113" i="1"/>
  <c r="F112" i="1"/>
  <c r="G112" i="1" s="1"/>
  <c r="E112" i="1"/>
  <c r="F111" i="1"/>
  <c r="E111" i="1"/>
  <c r="F110" i="1"/>
  <c r="E110" i="1"/>
  <c r="G107" i="1"/>
  <c r="E107" i="1"/>
  <c r="G106" i="1"/>
  <c r="E106" i="1"/>
  <c r="H106" i="1" s="1"/>
  <c r="F105" i="1"/>
  <c r="E105" i="1"/>
  <c r="F104" i="1"/>
  <c r="E104" i="1"/>
  <c r="F103" i="1"/>
  <c r="G103" i="1" s="1"/>
  <c r="E103" i="1"/>
  <c r="F102" i="1"/>
  <c r="G102" i="1" s="1"/>
  <c r="E102" i="1"/>
  <c r="F101" i="1"/>
  <c r="G101" i="1" s="1"/>
  <c r="E101" i="1"/>
  <c r="F100" i="1"/>
  <c r="E100" i="1"/>
  <c r="E97" i="1"/>
  <c r="G96" i="1"/>
  <c r="E96" i="1"/>
  <c r="H96" i="1" s="1"/>
  <c r="F95" i="1"/>
  <c r="E95" i="1"/>
  <c r="F94" i="1"/>
  <c r="G94" i="1" s="1"/>
  <c r="E94" i="1"/>
  <c r="F93" i="1"/>
  <c r="E93" i="1"/>
  <c r="F92" i="1"/>
  <c r="E92" i="1"/>
  <c r="F91" i="1"/>
  <c r="G91" i="1" s="1"/>
  <c r="E91" i="1"/>
  <c r="F90" i="1"/>
  <c r="G90" i="1" s="1"/>
  <c r="E90" i="1"/>
  <c r="F89" i="1"/>
  <c r="G89" i="1" s="1"/>
  <c r="E89" i="1"/>
  <c r="F88" i="1"/>
  <c r="E88" i="1"/>
  <c r="F87" i="1"/>
  <c r="G87" i="1" s="1"/>
  <c r="E87" i="1"/>
  <c r="F86" i="1"/>
  <c r="G86" i="1" s="1"/>
  <c r="E86" i="1"/>
  <c r="F85" i="1"/>
  <c r="E85" i="1"/>
  <c r="F84" i="1"/>
  <c r="E84" i="1"/>
  <c r="F83" i="1"/>
  <c r="G83" i="1" s="1"/>
  <c r="E83" i="1"/>
  <c r="F82" i="1"/>
  <c r="G82" i="1" s="1"/>
  <c r="E82" i="1"/>
  <c r="F81" i="1"/>
  <c r="E81" i="1"/>
  <c r="F80" i="1"/>
  <c r="G80" i="1" s="1"/>
  <c r="E80" i="1"/>
  <c r="F79" i="1"/>
  <c r="G79" i="1" s="1"/>
  <c r="E79" i="1"/>
  <c r="F78" i="1"/>
  <c r="E78" i="1"/>
  <c r="F77" i="1"/>
  <c r="G77" i="1" s="1"/>
  <c r="E77" i="1"/>
  <c r="F76" i="1"/>
  <c r="G76" i="1" s="1"/>
  <c r="E76" i="1"/>
  <c r="F75" i="1"/>
  <c r="G75" i="1" s="1"/>
  <c r="E75" i="1"/>
  <c r="F74" i="1"/>
  <c r="E74" i="1"/>
  <c r="F73" i="1"/>
  <c r="G73" i="1" s="1"/>
  <c r="E73" i="1"/>
  <c r="F72" i="1"/>
  <c r="E72" i="1"/>
  <c r="F71" i="1"/>
  <c r="E71" i="1"/>
  <c r="F70" i="1"/>
  <c r="E70" i="1"/>
  <c r="F69" i="1"/>
  <c r="G69" i="1" s="1"/>
  <c r="E69" i="1"/>
  <c r="F68" i="1"/>
  <c r="G68" i="1" s="1"/>
  <c r="E68" i="1"/>
  <c r="F67" i="1"/>
  <c r="E67" i="1"/>
  <c r="F66" i="1"/>
  <c r="G66" i="1" s="1"/>
  <c r="E66" i="1"/>
  <c r="F65" i="1"/>
  <c r="E65" i="1"/>
  <c r="F64" i="1"/>
  <c r="E64" i="1"/>
  <c r="F63" i="1"/>
  <c r="G63" i="1" s="1"/>
  <c r="E63" i="1"/>
  <c r="F62" i="1"/>
  <c r="G62" i="1" s="1"/>
  <c r="E62" i="1"/>
  <c r="F61" i="1"/>
  <c r="G61" i="1" s="1"/>
  <c r="E61" i="1"/>
  <c r="F60" i="1"/>
  <c r="E60" i="1"/>
  <c r="F59" i="1"/>
  <c r="G59" i="1" s="1"/>
  <c r="E59" i="1"/>
  <c r="F58" i="1"/>
  <c r="E58" i="1"/>
  <c r="F57" i="1"/>
  <c r="E57" i="1"/>
  <c r="F56" i="1"/>
  <c r="G56" i="1" s="1"/>
  <c r="E56" i="1"/>
  <c r="F55" i="1"/>
  <c r="G55" i="1" s="1"/>
  <c r="E55" i="1"/>
  <c r="F54" i="1"/>
  <c r="G54" i="1" s="1"/>
  <c r="E54" i="1"/>
  <c r="F53" i="1"/>
  <c r="E53" i="1"/>
  <c r="F52" i="1"/>
  <c r="G52" i="1" s="1"/>
  <c r="E52" i="1"/>
  <c r="F51" i="1"/>
  <c r="E51" i="1"/>
  <c r="F50" i="1"/>
  <c r="E50" i="1"/>
  <c r="G47" i="1"/>
  <c r="E47" i="1"/>
  <c r="H47" i="1" s="1"/>
  <c r="G46" i="1"/>
  <c r="E46" i="1"/>
  <c r="H46" i="1" s="1"/>
  <c r="E45" i="1"/>
  <c r="E44" i="1"/>
  <c r="F43" i="1"/>
  <c r="E43" i="1"/>
  <c r="F42" i="1"/>
  <c r="G42" i="1" s="1"/>
  <c r="E42" i="1"/>
  <c r="F41" i="1"/>
  <c r="G41" i="1" s="1"/>
  <c r="E41" i="1"/>
  <c r="F40" i="1"/>
  <c r="E40" i="1"/>
  <c r="F39" i="1"/>
  <c r="G39" i="1" s="1"/>
  <c r="E39" i="1"/>
  <c r="F38" i="1"/>
  <c r="G38" i="1" s="1"/>
  <c r="E38" i="1"/>
  <c r="F37" i="1"/>
  <c r="G37" i="1" s="1"/>
  <c r="E37" i="1"/>
  <c r="F36" i="1"/>
  <c r="E36" i="1"/>
  <c r="F35" i="1"/>
  <c r="G35" i="1" s="1"/>
  <c r="E35" i="1"/>
  <c r="F34" i="1"/>
  <c r="G34" i="1" s="1"/>
  <c r="E34" i="1"/>
  <c r="F33" i="1"/>
  <c r="E33" i="1"/>
  <c r="F32" i="1"/>
  <c r="G32" i="1" s="1"/>
  <c r="E32" i="1"/>
  <c r="F31" i="1"/>
  <c r="G31" i="1" s="1"/>
  <c r="E31" i="1"/>
  <c r="F30" i="1"/>
  <c r="G30" i="1" s="1"/>
  <c r="E30" i="1"/>
  <c r="F29" i="1"/>
  <c r="E29" i="1"/>
  <c r="F28" i="1"/>
  <c r="G28" i="1" s="1"/>
  <c r="E28" i="1"/>
  <c r="F27" i="1"/>
  <c r="E27" i="1"/>
  <c r="F26" i="1"/>
  <c r="E26" i="1"/>
  <c r="F25" i="1"/>
  <c r="G25" i="1" s="1"/>
  <c r="E25" i="1"/>
  <c r="F24" i="1"/>
  <c r="E24" i="1"/>
  <c r="F23" i="1"/>
  <c r="G23" i="1" s="1"/>
  <c r="E23" i="1"/>
  <c r="F22" i="1"/>
  <c r="E22" i="1"/>
  <c r="F21" i="1"/>
  <c r="G21" i="1" s="1"/>
  <c r="E21" i="1"/>
  <c r="F20" i="1"/>
  <c r="G20" i="1" s="1"/>
  <c r="E20" i="1"/>
  <c r="F19" i="1"/>
  <c r="E19" i="1"/>
  <c r="F18" i="1"/>
  <c r="G18" i="1" s="1"/>
  <c r="E18" i="1"/>
  <c r="F17" i="1"/>
  <c r="H17" i="1" s="1"/>
  <c r="F16" i="1"/>
  <c r="G16" i="1" s="1"/>
  <c r="E16" i="1"/>
  <c r="H16" i="1" s="1"/>
  <c r="F15" i="1"/>
  <c r="G15" i="1" s="1"/>
  <c r="E15" i="1"/>
  <c r="F14" i="1"/>
  <c r="G14" i="1" s="1"/>
  <c r="B1" i="1"/>
  <c r="H52" i="1" l="1"/>
  <c r="H59" i="1"/>
  <c r="H66" i="1"/>
  <c r="H73" i="1"/>
  <c r="H129" i="1"/>
  <c r="H138" i="1"/>
  <c r="H161" i="1"/>
  <c r="H32" i="1"/>
  <c r="H183" i="1"/>
  <c r="H115" i="1"/>
  <c r="H191" i="1"/>
  <c r="H133" i="1"/>
  <c r="H140" i="1"/>
  <c r="H147" i="1"/>
  <c r="H154" i="1"/>
  <c r="H200" i="1"/>
  <c r="H207" i="1"/>
  <c r="H137" i="1"/>
  <c r="H144" i="1"/>
  <c r="H151" i="1"/>
  <c r="H158" i="1"/>
  <c r="H179" i="1"/>
  <c r="H39" i="1"/>
  <c r="H90" i="1"/>
  <c r="H134" i="1"/>
  <c r="H141" i="1"/>
  <c r="H148" i="1"/>
  <c r="H155" i="1"/>
  <c r="H162" i="1"/>
  <c r="H135" i="1"/>
  <c r="H142" i="1"/>
  <c r="H149" i="1"/>
  <c r="H156" i="1"/>
  <c r="H18" i="1"/>
  <c r="H62" i="1"/>
  <c r="H175" i="1"/>
  <c r="H23" i="1"/>
  <c r="H30" i="1"/>
  <c r="H145" i="1"/>
  <c r="H152" i="1"/>
  <c r="H159" i="1"/>
  <c r="H54" i="1"/>
  <c r="H82" i="1"/>
  <c r="H114" i="1"/>
  <c r="H121" i="1"/>
  <c r="H132" i="1"/>
  <c r="H139" i="1"/>
  <c r="H146" i="1"/>
  <c r="H153" i="1"/>
  <c r="H160" i="1"/>
  <c r="H187" i="1"/>
  <c r="H205" i="1"/>
  <c r="H63" i="1"/>
  <c r="H77" i="1"/>
  <c r="H91" i="1"/>
  <c r="H112" i="1"/>
  <c r="H68" i="1"/>
  <c r="H75" i="1"/>
  <c r="H116" i="1"/>
  <c r="H56" i="1"/>
  <c r="H69" i="1"/>
  <c r="H44" i="1"/>
  <c r="H80" i="1"/>
  <c r="H76" i="1"/>
  <c r="H87" i="1"/>
  <c r="H51" i="1"/>
  <c r="G17" i="1"/>
  <c r="H41" i="1"/>
  <c r="H171" i="1"/>
  <c r="H37" i="1"/>
  <c r="H55" i="1"/>
  <c r="H61" i="1"/>
  <c r="H94" i="1"/>
  <c r="H103" i="1"/>
  <c r="H25" i="1"/>
  <c r="H83" i="1"/>
  <c r="H89" i="1"/>
  <c r="H101" i="1"/>
  <c r="H107" i="1"/>
  <c r="H119" i="1"/>
  <c r="H127" i="1"/>
  <c r="H182" i="1"/>
  <c r="H190" i="1"/>
  <c r="H198" i="1"/>
  <c r="H19" i="1"/>
  <c r="H92" i="1"/>
  <c r="H199" i="1"/>
  <c r="H14" i="1"/>
  <c r="H50" i="1"/>
  <c r="H124" i="1"/>
  <c r="H65" i="1"/>
  <c r="H33" i="1"/>
  <c r="H27" i="1"/>
  <c r="H117" i="1"/>
  <c r="H24" i="1"/>
  <c r="H40" i="1"/>
  <c r="H126" i="1"/>
  <c r="H58" i="1"/>
  <c r="H97" i="1"/>
  <c r="H196" i="1"/>
  <c r="H206" i="1"/>
  <c r="H170" i="1"/>
  <c r="H110" i="1"/>
  <c r="H26" i="1"/>
  <c r="H64" i="1"/>
  <c r="H105" i="1"/>
  <c r="H111" i="1"/>
  <c r="H203" i="1"/>
  <c r="H71" i="1"/>
  <c r="H125" i="1"/>
  <c r="H57" i="1"/>
  <c r="H72" i="1"/>
  <c r="H31" i="1"/>
  <c r="H93" i="1"/>
  <c r="H104" i="1"/>
  <c r="H84" i="1"/>
  <c r="H100" i="1"/>
  <c r="H168" i="1"/>
  <c r="H176" i="1"/>
  <c r="H185" i="1"/>
  <c r="H192" i="1"/>
  <c r="H118" i="1"/>
  <c r="H45" i="1"/>
  <c r="H186" i="1"/>
  <c r="H78" i="1"/>
  <c r="H70" i="1"/>
  <c r="H85" i="1"/>
  <c r="H169" i="1"/>
  <c r="H177" i="1"/>
  <c r="G29" i="1"/>
  <c r="H29" i="1"/>
  <c r="H20" i="1"/>
  <c r="H60" i="1"/>
  <c r="G60" i="1"/>
  <c r="H74" i="1"/>
  <c r="G74" i="1"/>
  <c r="H88" i="1"/>
  <c r="G88" i="1"/>
  <c r="G124" i="1"/>
  <c r="G168" i="1"/>
  <c r="H113" i="1"/>
  <c r="G113" i="1"/>
  <c r="H34" i="1"/>
  <c r="G45" i="1"/>
  <c r="G176" i="1"/>
  <c r="H172" i="1"/>
  <c r="G172" i="1"/>
  <c r="G36" i="1"/>
  <c r="H36" i="1"/>
  <c r="G70" i="1"/>
  <c r="G84" i="1"/>
  <c r="H128" i="1"/>
  <c r="G128" i="1"/>
  <c r="H197" i="1"/>
  <c r="G197" i="1"/>
  <c r="H102" i="1"/>
  <c r="G24" i="1"/>
  <c r="G22" i="1"/>
  <c r="H22" i="1"/>
  <c r="G27" i="1"/>
  <c r="G105" i="1"/>
  <c r="H184" i="1"/>
  <c r="H53" i="1"/>
  <c r="G53" i="1"/>
  <c r="H67" i="1"/>
  <c r="G67" i="1"/>
  <c r="H81" i="1"/>
  <c r="G81" i="1"/>
  <c r="H95" i="1"/>
  <c r="G95" i="1"/>
  <c r="H120" i="1"/>
  <c r="G120" i="1"/>
  <c r="G184" i="1"/>
  <c r="G192" i="1"/>
  <c r="H38" i="1"/>
  <c r="G43" i="1"/>
  <c r="H43" i="1"/>
  <c r="H204" i="1"/>
  <c r="G204" i="1"/>
  <c r="H21" i="1"/>
  <c r="H28" i="1"/>
  <c r="H35" i="1"/>
  <c r="H42" i="1"/>
  <c r="G50" i="1"/>
  <c r="G57" i="1"/>
  <c r="G64" i="1"/>
  <c r="G71" i="1"/>
  <c r="G78" i="1"/>
  <c r="G85" i="1"/>
  <c r="G92" i="1"/>
  <c r="G110" i="1"/>
  <c r="G117" i="1"/>
  <c r="G125" i="1"/>
  <c r="G169" i="1"/>
  <c r="G177" i="1"/>
  <c r="G185" i="1"/>
  <c r="H201" i="1"/>
  <c r="H208" i="1"/>
  <c r="H209" i="1"/>
  <c r="G100" i="1"/>
  <c r="G51" i="1"/>
  <c r="G58" i="1"/>
  <c r="G65" i="1"/>
  <c r="G72" i="1"/>
  <c r="G93" i="1"/>
  <c r="G111" i="1"/>
  <c r="G118" i="1"/>
  <c r="G126" i="1"/>
  <c r="G170" i="1"/>
  <c r="G186" i="1"/>
  <c r="H202" i="1"/>
  <c r="H15" i="1"/>
  <c r="G19" i="1"/>
  <c r="G26" i="1"/>
  <c r="G33" i="1"/>
  <c r="G40" i="1"/>
  <c r="H79" i="1"/>
  <c r="H86" i="1"/>
  <c r="G97" i="1"/>
  <c r="G104" i="1"/>
  <c r="H178" i="1"/>
  <c r="G199" i="1"/>
  <c r="G206" i="1"/>
  <c r="G193" i="1" l="1"/>
  <c r="G189" i="1" s="1"/>
  <c r="G130" i="1"/>
  <c r="G123" i="1" s="1"/>
  <c r="H48" i="1"/>
  <c r="H193" i="1"/>
  <c r="H210" i="1"/>
  <c r="H188" i="1"/>
  <c r="H130" i="1"/>
  <c r="G166" i="1"/>
  <c r="H122" i="1"/>
  <c r="H166" i="1"/>
  <c r="H108" i="1"/>
  <c r="G210" i="1"/>
  <c r="G194" i="1" s="1"/>
  <c r="H173" i="1"/>
  <c r="H180" i="1"/>
  <c r="G188" i="1"/>
  <c r="G181" i="1" s="1"/>
  <c r="H98" i="1"/>
  <c r="G48" i="1"/>
  <c r="G108" i="1"/>
  <c r="G99" i="1" s="1"/>
  <c r="G98" i="1"/>
  <c r="G49" i="1" s="1"/>
  <c r="G180" i="1"/>
  <c r="G174" i="1" s="1"/>
  <c r="G122" i="1"/>
  <c r="G109" i="1" s="1"/>
  <c r="G173" i="1"/>
  <c r="G167" i="1" s="1"/>
  <c r="G13" i="1" l="1"/>
  <c r="G131" i="1"/>
  <c r="H211" i="1"/>
  <c r="E3" i="1" s="1"/>
  <c r="G211" i="1"/>
</calcChain>
</file>

<file path=xl/sharedStrings.xml><?xml version="1.0" encoding="utf-8"?>
<sst xmlns="http://schemas.openxmlformats.org/spreadsheetml/2006/main" count="219" uniqueCount="199">
  <si>
    <t>Сумма</t>
  </si>
  <si>
    <t xml:space="preserve">Время: </t>
  </si>
  <si>
    <t>Менеджер площадки: Стрельченко Артем</t>
  </si>
  <si>
    <t>Безналичный расчет (1)</t>
  </si>
  <si>
    <t>Продолжительность:</t>
  </si>
  <si>
    <t>день</t>
  </si>
  <si>
    <t>№</t>
  </si>
  <si>
    <t>Оборудование</t>
  </si>
  <si>
    <t>Кол-во</t>
  </si>
  <si>
    <t>Цена, шт.</t>
  </si>
  <si>
    <t>День коэф</t>
  </si>
  <si>
    <t>Сумма, р.</t>
  </si>
  <si>
    <t>KS Audio TRIAKS T10-L - акустическая система, 1600 Вт, 2x12”/ 1x2”/ 1x1”, 30°x20°, 72x58x66cm, 80кг</t>
  </si>
  <si>
    <t>Комплект акустического оборудования от площадки (заказчик заказывает его напрямую у площадки)</t>
  </si>
  <si>
    <t>KS Audio TRIAKS T10-F - акустическая система, 1600 Вт, 2x12”/ 1x2”/ 1x1”, 60°x40°, 72x58x66cm, 65кг</t>
  </si>
  <si>
    <t>Микшерный пульт Pioneer DJM-900 + проигрыватели  CDJ-2000NXS2 x2</t>
  </si>
  <si>
    <t>DAS AUDIO ACTION - активный звуковой комплект 4200 Вт: 2 x DAS AUDIO ACTION 215A - активная АС 500 Вт (RMS), 2 x 15"+1,75 ", 2 x DAS AUDIO ACTION 218A - активный саб 1600 Вт (RMS), 2 x 18''</t>
  </si>
  <si>
    <t>DB TECHNOLOGIES OPERA - активный звуковой комплект 1200 Вт, 2 активных АС по 200 Вт - OPERA LIVE 210, 1 активный сабвуфер, 800 Вт - OPERA SUB 15, 2 акустических стойки</t>
  </si>
  <si>
    <t>DB TECHNOLOGIES OPERA LIVE 210 - активная акустическая система, 200 Вт, 10"+1"</t>
  </si>
  <si>
    <t>MACKIE THUMP-15A - Активная акустическая система/монитор, 1000 Вт</t>
  </si>
  <si>
    <t xml:space="preserve">LD Maui комплект </t>
  </si>
  <si>
    <t>Behringer FLOW8 - цифровой микшерный пульт, 8 каналов.</t>
  </si>
  <si>
    <t xml:space="preserve">Behringer XR16 - цифровой микшерный пульт, 16 каналов, планшет </t>
  </si>
  <si>
    <t>Behringer XR18 - цифровой микшерный пульт, 18 каналов, планшет, 18-канальный USB-интерфейс для многоканальной записи</t>
  </si>
  <si>
    <t>Behringer X32 - цифровой микшерный пульт, 32 канала, 16 шин, 32 х 32 интерфейс USB</t>
  </si>
  <si>
    <t>Behringer S32 - стейдж бокс для Behringer X32, 32 входа, 16 выходов</t>
  </si>
  <si>
    <t>YAMAHA MG82CX - микшерный пульт, 2 мик./лин. моноканала, 2 мик./лин. стереоканала, 1 стереопара, процессор эффектов, компрессоры на двух микрофонных каналах</t>
  </si>
  <si>
    <t>Конференц система Beyerdynamic MCS 521 до 60 микрофонов</t>
  </si>
  <si>
    <t>Конференц система JTS до 30 микрофонов</t>
  </si>
  <si>
    <t>SHURE BLX24E/SM58 - радиосистема с ручным вокальным микрофоном</t>
  </si>
  <si>
    <t>SHURE SLXD24/B58/SM58 - радиосистема с ручным вокальным микрофоном</t>
  </si>
  <si>
    <t>SHURE SLX14/SM35 - радиосистема с головным микрофоном SM35, цвет черный</t>
  </si>
  <si>
    <t>Sennheiser XSW 1-825 - радиосистема с ручным вокальным микрофоном</t>
  </si>
  <si>
    <t>SHURE PGX14/PG30 - радиосистема с головным микрофоном, цвет черный</t>
  </si>
  <si>
    <t>Sennheiser EW IEM G4 - система персонального мониторинга</t>
  </si>
  <si>
    <t>SHURE SM58-LCE - динамический кардиоидный вокальный микрофон</t>
  </si>
  <si>
    <t>AKG C1000S - микрофон `Швейцарский нож` электретный кардиоид./суперкард., внутр./внешн. питание</t>
  </si>
  <si>
    <t>SHURE CVG18-B/C - настольный конденсаторный микрофон на гибком держателе, кардиоида, черный, длина 45 см.</t>
  </si>
  <si>
    <t>OnStage SSP7900 - стойка для акустических систем</t>
  </si>
  <si>
    <t>Ноутбук звукорежиссера</t>
  </si>
  <si>
    <t>Услуги технического персонала (звукооператор)</t>
  </si>
  <si>
    <t>Услуги технического персонала (Программный диджей)</t>
  </si>
  <si>
    <t>Монтажники, чел</t>
  </si>
  <si>
    <t>Доставка</t>
  </si>
  <si>
    <t>Итого звук:</t>
  </si>
  <si>
    <t>Световое оборудование</t>
  </si>
  <si>
    <t>ASM Lighting BSW-470B - вращающаяся голова типа "3 в 1": WASH/ BEAM/ SPOT, 470 Вт, 14 цветов, 2 колеса гобо, 16/19 каналов</t>
  </si>
  <si>
    <t>ASM Lighting K10BE - вращающаяся голова WASH BEE EYE, 285 Вт, режимы WASH/BEAM/Калейдоскоп, цвет белый</t>
  </si>
  <si>
    <t>ASM Lighting K15BE - вращающаяся голова WASH BEE EYE, 285 Вт, режимы WASH/BEAM/Калейдоскоп, цвет черный</t>
  </si>
  <si>
    <t>ASM Lighting BM-230W- вращающаяся голова BEAM, 7R, 230 Вт, 16 каналов, цвет черный</t>
  </si>
  <si>
    <t>ASM Lighting  LW-450W - вращающаяся голова, 450 Вт, 36x12 Вт RGBW, цвет черный</t>
  </si>
  <si>
    <t xml:space="preserve">ASM Lighting LED PAR 108 - светодиодный прожектор, 108 Вт, светодиоды: 36 шт. по 3 Вт, угол раскрытия: 25°, цвет корпуса: черный, 7 каналов  </t>
  </si>
  <si>
    <t>ASM Lighting LED COB PAR 108 - светодиодный прожектор, 108 Вт, ,белый свет,  светодиоды: 4 шт. по 25 Вт, угол раскрытия: 45°, цвет корпуса: черный</t>
  </si>
  <si>
    <t xml:space="preserve">ASM Lighting SLIM LEDPAR120 - LED прожектор, 120 Вт,  светодиоды: 12 шт.(4 в 1, RGBW) по 10 Вт, угол раскрытия: 25°, цвет: черный, 8 каналов </t>
  </si>
  <si>
    <t xml:space="preserve">EURO DJ LED PAR 64 - светодиодный прожектор, 108 Вт, светодиоды: 36 шт. по 3 Вт, угол раскрытия: 15°, цвет корпуса: серебристый, 8 каналов </t>
  </si>
  <si>
    <t>EURO DJ PAR 64 - галогеновый прожектор, 1000 Вт, цвет корпуса: серебристый</t>
  </si>
  <si>
    <t>ASM Lighting LED PAR 120WP - светодиодный влагозащищенный прожектор, 12 светодиодов (4 в 1, RGBW) по 10 Вт, угол раскрытия: 25°, черный, 8 каналов, абсолютно бесшумная работа</t>
  </si>
  <si>
    <t>ASM Lighting LEDBAR-360 - светодиодный влагозащищенный линейный прожектор, 24 светодиода (5 в 1, RGBWA) по 15 Вт,  угол раскрытия: 15°, черный, 5/9 каналов, абсолютно бесшумная работа</t>
  </si>
  <si>
    <t>ASM Lighting LEDBAR-210PXL - светодиодный влагозащищенный линейный прожектор, 14 светодиодов (5 в 1, RGBWA) по 15 Вт, pixel line, 86 каналов, абсолютно бесшумная работа</t>
  </si>
  <si>
    <t>ASM Lighting LAZERBAR-8 - моторизированная лазерная линейка, 8 светодиодов по 500мВт, 12 DMX каналов, диапазон вращения TILT: 180°, длина 1 м</t>
  </si>
  <si>
    <t>ASM Lighting MATRIX-RGB - матрица светодиодная, 25 светодиодов RGB, 58х58 см</t>
  </si>
  <si>
    <t>ASM Lighting MATRIX-W - матрица светодиодная, 36 белых теплых светодиодов, 50х50х19 см</t>
  </si>
  <si>
    <t>ASM Lighting LEDBAR-W - линейный прожектор, 14 белый теплых светодиода, 100х5х12 см</t>
  </si>
  <si>
    <t>ASM Lighting BL-200 - блиндер, 2 x 100Вт, 4/8 DMX каналов</t>
  </si>
  <si>
    <t>EURO DJ MEGA STROBE - стробоскоп, 1500 Вт</t>
  </si>
  <si>
    <t>ASM Lighting STORM STROBE - светодиодный стробоскоп, 1000 Вт</t>
  </si>
  <si>
    <t>ASM Lighting HAZER-600 - генератор тумана, 600 Вт</t>
  </si>
  <si>
    <t>ASM Lighting LOWFOG-2000 - генератор тяжелого дыма, 2000 Вт</t>
  </si>
  <si>
    <t>ASM Lighting ColorFog-1200 - вертикальная дым-машина со светодиодной подсветкой, 1200 Вт, подвес или напольная установка</t>
  </si>
  <si>
    <t>Euro DJ F-1500M - дым-машина, 1500 Вт, DMX управление</t>
  </si>
  <si>
    <t>Euro DJ F-900M - дым-машина, 900 Вт</t>
  </si>
  <si>
    <t>EURO DJ S-1000 - генератор снега, имитация снежных хлопьев с помощью специальной пены, расстояние выброса хлопьев - 6 м</t>
  </si>
  <si>
    <t>ASM Lighting FIRE-1 - генератор пламени, 1 сопло, DMX</t>
  </si>
  <si>
    <t>ASM Lighting FIRE-3 - генератор пламени, 3 сопла, DMX</t>
  </si>
  <si>
    <t>Эффект "Холодный фонтан"(sparkular), высота до 6 метров, DMX управление</t>
  </si>
  <si>
    <t>ASM Lighting CO2-DMX - генератор CO2(углекислого газа), комплект - 1 пара, высота струи 6-8 метров, DMX управление 2 канала, + баллоны с CO2</t>
  </si>
  <si>
    <t>ASM Lighting E-SHOT4 - конфетти-установка, 4-зарядная, электроподжиг 220В, DMX-управление, за 1 заряд</t>
  </si>
  <si>
    <t>ASM Lighting AIR-SHOT - пневматическая конфетти-пушка, 1-зарядная, клапан 220В, радиобрелок для управления, + расходные материалы</t>
  </si>
  <si>
    <t>Снег-машина</t>
  </si>
  <si>
    <t xml:space="preserve">ASM Lighting LED KONFETTI - выдувная пушка конфетти со светодиодной подсветкой для средних залов, </t>
  </si>
  <si>
    <t>ASM Lighting KABUKI-DMX - система сброса занавеса, DMX-управление, 1 шт на 0,7 метра длины занавеса</t>
  </si>
  <si>
    <t>Фермовые конструкции, метр</t>
  </si>
  <si>
    <t>OnStage SSP7900 - стойка для акустических систем, прожекторов</t>
  </si>
  <si>
    <t>Roxtone LS030 - T-стойки для светового оборудования, выс 1,3-3 м</t>
  </si>
  <si>
    <t>Тотем-2 - конструкция для установки светового оборудования, 2 м</t>
  </si>
  <si>
    <t>Тотем-3 - конструкция для установки светового оборудования, 3 м</t>
  </si>
  <si>
    <t>Тотем-4 - конструкция для установки светового оборудования, 4 м</t>
  </si>
  <si>
    <t>U-Frame - конструкция для подвеса прожекторов, вращающихся голов, высота 3 метра, на 4 прибора</t>
  </si>
  <si>
    <t>HEAD BOX - короб для использования вращающихся голов при отрицательных температурах и при осадках</t>
  </si>
  <si>
    <t>Световой пульт на базе ПК + MaLighting Fader wing</t>
  </si>
  <si>
    <t>Световой пульт на базе ПК + MaLighting Сommand wing</t>
  </si>
  <si>
    <t>Услуги технического персонала (светооператор)</t>
  </si>
  <si>
    <t>Итого свет:</t>
  </si>
  <si>
    <t xml:space="preserve"> LED Экраны, фотозона</t>
  </si>
  <si>
    <t>Светодиодный экран  высокого разрешения, уличный, 5,76  х 3,45 метра, шаг 6 мм, угол обзора 160 градусов, кв.м</t>
  </si>
  <si>
    <t>Аппаратно програмный комплекс для вывода изображения с предустановленным ПО для воспроизведения контента высокого разрешения(до 6K),  коррекции геометрических искажений, коррекции цветопередачи, сшивки изображений</t>
  </si>
  <si>
    <t>Фермовый конструктив для светодиодного экрана м</t>
  </si>
  <si>
    <t>Ноутбук (контент,zoom)</t>
  </si>
  <si>
    <t>Услуги технического персонала (Видеоинженер)</t>
  </si>
  <si>
    <t>Итого экраны:</t>
  </si>
  <si>
    <t>Видео оборудование</t>
  </si>
  <si>
    <t>Панель суфлер\дублер 42"</t>
  </si>
  <si>
    <t>Панель суфлер\дублер 55"</t>
  </si>
  <si>
    <t>Панель суфлер\дублер 75"</t>
  </si>
  <si>
    <t>Кликер Logitech Spotlight с цифровой указкой (пульт управления презентацией)</t>
  </si>
  <si>
    <t>Кликер Logitech r400 с цифровой указкой (пульт управления презентацией)</t>
  </si>
  <si>
    <t>Услуги технического персонала (видеоинженер)</t>
  </si>
  <si>
    <t>Услуги технического персонала (техник)</t>
  </si>
  <si>
    <t>Итого видео:</t>
  </si>
  <si>
    <t>Синхронный перевод</t>
  </si>
  <si>
    <t>Кабина для переводчика</t>
  </si>
  <si>
    <t>Пультовая синхронного перевода (головной блок, пульт переводчика, поканальные передатчики)</t>
  </si>
  <si>
    <t>Дополнительные пульты переводчика</t>
  </si>
  <si>
    <t>Дополнительные поканальные передатчики</t>
  </si>
  <si>
    <t>Приемники по количеству слушателей</t>
  </si>
  <si>
    <t>Микшерный пульт Behringer XR18 + X-air Touch</t>
  </si>
  <si>
    <t>Микшерный пульт Behringer X32 RACK + X-air Touch</t>
  </si>
  <si>
    <t xml:space="preserve">Микшерный пульт Behringer FLOW 8 </t>
  </si>
  <si>
    <t>Behringer SD16 - стейдж бокс для Behringer X32</t>
  </si>
  <si>
    <t>SHURE SLXD24/SM58 - радиосистема с ручным вокальным микрофоном</t>
  </si>
  <si>
    <t>Кликер Logitech Spotlight с цифровой указкой(пульт управления презентацией)</t>
  </si>
  <si>
    <t>Микрофон-Пушка Sennheiser MKE 600</t>
  </si>
  <si>
    <t>Микрофон-пушка Rode VideoMic NTG накамерный</t>
  </si>
  <si>
    <t>Радиосистема RODE Wireless GO II</t>
  </si>
  <si>
    <t>Цифровая видеокамера на штативе</t>
  </si>
  <si>
    <t xml:space="preserve">Видеопультовая </t>
  </si>
  <si>
    <t>Видеомикшер Atem Television Studio Pro HD</t>
  </si>
  <si>
    <t>Беспроводной видеолинк Hollyland C1</t>
  </si>
  <si>
    <t>Беспроводной видеолинк Hollyland Mars 450</t>
  </si>
  <si>
    <t>Беспроводной видеолинк Hollyland M1</t>
  </si>
  <si>
    <t>Беспроводной видеолинк DJI Transmitter</t>
  </si>
  <si>
    <t>Беспроводной видеолинк Hollyland Cosmo 400</t>
  </si>
  <si>
    <t>Видеорекордер Atomos Ninja V</t>
  </si>
  <si>
    <t>Монитор дублер для президиума и трибуны</t>
  </si>
  <si>
    <t>Moma 1000 - реж связь, интерком на 8 чел</t>
  </si>
  <si>
    <t>Режиссерская связь Naya BS400 (Дуплексная связь, до 4 абонентов)</t>
  </si>
  <si>
    <t>Услуги технического персонала (Звукооператор) </t>
  </si>
  <si>
    <t>Услуги технического персонала (Видеорежиссер эфира) </t>
  </si>
  <si>
    <t>Услуги технического персонала (Звукорежиссер эфира) </t>
  </si>
  <si>
    <t>Услуги технического персонала (Видеоинженер) </t>
  </si>
  <si>
    <t>Услуги технического персонала (Видеооператор) </t>
  </si>
  <si>
    <t>Услуги технического персонала (Видеооператор SteadiCam) </t>
  </si>
  <si>
    <t>Услуги технического персонала (Техник) </t>
  </si>
  <si>
    <t>Лицензия ZOOM professional (100 подключений,перевод, SIP, без ограничения по времени)</t>
  </si>
  <si>
    <t>Лицензия FaceCast</t>
  </si>
  <si>
    <t>Настройка канала Facecast</t>
  </si>
  <si>
    <t>Пусконаладка</t>
  </si>
  <si>
    <t>Сценический комплекс 16х10 м с порталами 3 м</t>
  </si>
  <si>
    <t>Сценический комплекс для массовых мероприятий, ширина 17 метров + 2 портала по 3 метра, высота столбов 10 м, глубина 11 м, с электролебедками 2 т, двускатная крыша, зеркало сцены 16,2х7 м, ферма 40 x 40 см, труба 50/3 мм (башни и стропилы), 40 x 60 см, труба 50/3 мм (несущий периметр), конические соединители, с монтажом</t>
  </si>
  <si>
    <t>Подиум 14,64 м  x  9,76 м, высота 0,83 м, + 2 лестницы</t>
  </si>
  <si>
    <t>Бетонный блок для расчаливания сценического комплекса, вес 2 т</t>
  </si>
  <si>
    <t>Доставка бетонных блоков в пределах Иркутска</t>
  </si>
  <si>
    <t>Доставка сценического комплекса в пределах г. Иркутска</t>
  </si>
  <si>
    <t>Итого сцена 16х10 м:</t>
  </si>
  <si>
    <t>Сценический комплекс 10х6 м с порталами 3 м</t>
  </si>
  <si>
    <t>Сценический комплекс для массовых мероприятий, ширина 10 метров + 2 портала по 3 метра, высота столбов 8,5 м, глубина 10 м, с электролебедками 2 т, двускатная крыша, зеркало сцены 9,2х5,5 м, ферма 40 x 40 см, труба 50/3 мм (башни и стропилы), 40 x 60 см, труба 50/3 мм (несущий периметр), конические соединители, с монтажом</t>
  </si>
  <si>
    <t>Подиум 8,54 м  x  6,1 м, высота 0,83 м, + 2 лестницы, цена за куб 1,22х1,22 м</t>
  </si>
  <si>
    <t>Итого сцена 10х6 м:</t>
  </si>
  <si>
    <t>Сценический конструктив</t>
  </si>
  <si>
    <t>Электролебедка, 1 т, цепь 23 м</t>
  </si>
  <si>
    <t>Ферма 40х40/150 - ферма 40х40 см, длина 1,5 м</t>
  </si>
  <si>
    <t>Ферма 40х60/200 - ферма 40х60 см, длина 2 м</t>
  </si>
  <si>
    <t>Ферма 35х35/300 - 35х35см, длина 3 м</t>
  </si>
  <si>
    <t>Доставка бетонных блоков кранбортом  в пределах Иркутска</t>
  </si>
  <si>
    <t>Подиум</t>
  </si>
  <si>
    <t xml:space="preserve">Подиум, 6х1м высота (50 см) </t>
  </si>
  <si>
    <t>Подиум воздух ы</t>
  </si>
  <si>
    <t>Итого сцена:</t>
  </si>
  <si>
    <t>Разное</t>
  </si>
  <si>
    <t>Трибуна (белая, с возможностью брендирования)</t>
  </si>
  <si>
    <t>Коммутация сигнальная\силовая</t>
  </si>
  <si>
    <t>Кабель-канал напольный резиновый, для мест скопления людей и автомобилей, высота 5 см, длина 90 см</t>
  </si>
  <si>
    <t>Рация Baofeng BF-888S, 400–470 мГц, 16 каналов, 1,5 км, с ушной гарнитурой</t>
  </si>
  <si>
    <t>Дистрибьютор электропитания, 125А</t>
  </si>
  <si>
    <t>FUBAG TI3000 - бензиновый инверторный генератор, ном. мощн 2,8 кВт, Время работы 50% нагрузки: 6 часов, бензин АИ-92, бак 13 л., вес 60 кг, бензин считается отдельно</t>
  </si>
  <si>
    <t>Hyundai HHY 10050FE ATS - бензиновый инверторный генератор, ном. мощн 7,5 кВт, Время работы 50% нагрузки: 14 часов, бензин АИ-92, бак 25 л., вес 99 кг, для звука для кавер-групп и нормального комплекта света, бензин считается отдельно</t>
  </si>
  <si>
    <t>Охрана сценического комплекса (сут)</t>
  </si>
  <si>
    <t>Тепловая пушка, напольная, 220В, 3 кВт</t>
  </si>
  <si>
    <t>Инфракрасный обогреватель, 2 кВт, потолочный</t>
  </si>
  <si>
    <t>Инфракрасный обогреватель, 1,5 кВт, напольный</t>
  </si>
  <si>
    <t>Палатка, 6-угольная, быстросборная, 10 кв.м</t>
  </si>
  <si>
    <t>Палатка, 6-угольная, быстросборная, 6 кв.м</t>
  </si>
  <si>
    <t>Итого разное:</t>
  </si>
  <si>
    <t>ИТОГО</t>
  </si>
  <si>
    <t>Внимание: данное предложение не является офертой. Бронирование оборудования на вашу дату производится только после заключения договора или внесения предоплаты</t>
  </si>
  <si>
    <t>* Первый день - 100% стоимости оборудования, 2-й и последующий, а также отдельный день для репетиций тарифицируются по 50% от стоимости оборудования</t>
  </si>
  <si>
    <t>Итого сценический конструктив:</t>
  </si>
  <si>
    <t>Транспортные расходы</t>
  </si>
  <si>
    <t>Сопровождение</t>
  </si>
  <si>
    <t>Звуковое оборудование</t>
  </si>
  <si>
    <t xml:space="preserve">Мероприятие: </t>
  </si>
  <si>
    <t xml:space="preserve">Дата: </t>
  </si>
  <si>
    <t xml:space="preserve">Место: </t>
  </si>
  <si>
    <t xml:space="preserve">Заказчик, контактная информация: </t>
  </si>
  <si>
    <t>Светодиодный экран  высокого разрешения, внутренний, угловой 4х2,5  метра, шаг 2,97 мм, угол обзора 160 градусов, кв м.</t>
  </si>
  <si>
    <t>Панель суфлер\дублер 65" на стойке</t>
  </si>
  <si>
    <t>Electro-Voice ZLX 15 активная акустическая система</t>
  </si>
  <si>
    <t>Ноутбук (контент)</t>
  </si>
  <si>
    <t>RCF SUB8004AS - активный сабвуфер, 18"(4"v.c.), 1250 Вт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</si>
</sst>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* #,##0\ &quot;₽&quot;_-;\-* #,##0\ &quot;₽&quot;_-;_-* &quot;-&quot;\ &quot;₽&quot;_-;_-@_-"/>
    <numFmt numFmtId="164" formatCode="0.0"/>
    <numFmt numFmtId="165" formatCode="_-* #,##0\ [$₽-419]_-;\-* #,##0\ [$₽-419]_-;_-* &quot;-&quot;??\ [$₽-419]_-;_-@_-"/>
  </numFmts>
  <fonts count="38" x14ac:knownFonts="1">
    <font>
      <sz val="12"/>
      <color theme="1"/>
      <name val="Aptos Narrow"/>
      <family val="2"/>
      <charset val="204"/>
      <scheme val="minor"/>
    </font>
    <font>
      <sz val="8"/>
      <color rgb="FF000000"/>
      <name val="Segoe UI"/>
      <charset val="1"/>
    </font>
    <font>
      <sz val="12"/>
      <color rgb="FF000000"/>
      <name val="Aptos Narrow"/>
    </font>
    <font>
      <b/>
      <sz val="12"/>
      <color indexed="8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9"/>
      <color indexed="8"/>
      <name val="Times New Roman"/>
      <family val="1"/>
      <charset val="204"/>
    </font>
    <font>
      <sz val="9"/>
      <color theme="1"/>
      <name val="Aptos Narrow"/>
      <family val="2"/>
      <charset val="204"/>
      <scheme val="minor"/>
    </font>
    <font>
      <sz val="9"/>
      <color indexed="8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0" tint="-4.9989318521683403E-2"/>
      <name val="Roboto"/>
    </font>
    <font>
      <sz val="9"/>
      <color theme="0" tint="-4.9989318521683403E-2"/>
      <name val="Roboto"/>
    </font>
    <font>
      <b/>
      <sz val="10"/>
      <color rgb="FF002060"/>
      <name val="Roboto"/>
    </font>
    <font>
      <sz val="10"/>
      <color indexed="8"/>
      <name val="Roboto"/>
    </font>
    <font>
      <b/>
      <sz val="10"/>
      <color indexed="8"/>
      <name val="Roboto"/>
    </font>
    <font>
      <b/>
      <sz val="10"/>
      <color theme="1"/>
      <name val="Roboto"/>
    </font>
    <font>
      <sz val="12"/>
      <color theme="1"/>
      <name val="Roboto"/>
    </font>
    <font>
      <sz val="10"/>
      <color theme="1"/>
      <name val="Roboto"/>
    </font>
    <font>
      <sz val="11"/>
      <color indexed="8"/>
      <name val="Roboto"/>
    </font>
    <font>
      <sz val="9"/>
      <color indexed="8"/>
      <name val="Roboto"/>
    </font>
    <font>
      <b/>
      <sz val="11"/>
      <color indexed="8"/>
      <name val="Roboto"/>
    </font>
    <font>
      <b/>
      <sz val="9"/>
      <color indexed="8"/>
      <name val="Roboto"/>
    </font>
    <font>
      <sz val="10"/>
      <color indexed="8"/>
      <name val="Aptos Narrow"/>
      <scheme val="minor"/>
    </font>
    <font>
      <sz val="9"/>
      <color indexed="8"/>
      <name val="Aptos Narrow"/>
      <scheme val="minor"/>
    </font>
    <font>
      <sz val="10"/>
      <name val="Aptos Narrow"/>
      <scheme val="minor"/>
    </font>
    <font>
      <b/>
      <sz val="10"/>
      <color indexed="8"/>
      <name val="Aptos Narrow"/>
      <scheme val="minor"/>
    </font>
    <font>
      <b/>
      <sz val="10"/>
      <color rgb="FF002060"/>
      <name val="Aptos Narrow"/>
      <scheme val="minor"/>
    </font>
    <font>
      <b/>
      <sz val="9"/>
      <color indexed="8"/>
      <name val="Aptos Narrow"/>
      <scheme val="minor"/>
    </font>
    <font>
      <sz val="10"/>
      <color theme="1"/>
      <name val="Aptos Narrow"/>
      <scheme val="minor"/>
    </font>
    <font>
      <b/>
      <sz val="10"/>
      <name val="Aptos Narrow"/>
      <scheme val="minor"/>
    </font>
    <font>
      <sz val="10"/>
      <color rgb="FF333333"/>
      <name val="Aptos Narrow"/>
      <scheme val="minor"/>
    </font>
    <font>
      <b/>
      <sz val="10"/>
      <color theme="3" tint="0.89999084444715716"/>
      <name val="Roboto"/>
    </font>
    <font>
      <b/>
      <sz val="10"/>
      <color theme="3" tint="0.89999084444715716"/>
      <name val="Aptos Narrow"/>
      <scheme val="minor"/>
    </font>
    <font>
      <b/>
      <sz val="10"/>
      <color rgb="FFDAE9F8"/>
      <name val="Aptos Narrow"/>
      <scheme val="minor"/>
    </font>
    <font>
      <sz val="10"/>
      <color theme="1"/>
      <name val="Aptos Narrow"/>
      <family val="2"/>
      <charset val="204"/>
      <scheme val="minor"/>
    </font>
    <font>
      <sz val="12"/>
      <color rgb="FF000000"/>
      <name val="Aptos Narrow"/>
      <scheme val="minor"/>
    </font>
    <font>
      <b/>
      <sz val="12"/>
      <color rgb="FF00000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3" fillId="0" borderId="0" applyFont="0" applyFill="0" applyBorder="0">
      <alignment horizontal="left" vertical="center" indent="3"/>
    </xf>
  </cellStyleXfs>
  <cellXfs count="94">
    <xf numFmtId="0" fontId="0" fillId="0" borderId="0" xfId="0"/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6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0" fontId="8" fillId="0" borderId="2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19" fillId="0" borderId="1" xfId="0" applyNumberFormat="1" applyFont="1" applyBorder="1" applyAlignment="1">
      <alignment horizontal="center" vertical="center"/>
    </xf>
    <xf numFmtId="165" fontId="22" fillId="0" borderId="1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5" fontId="20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3" fillId="4" borderId="3" xfId="0" applyFont="1" applyFill="1" applyBorder="1" applyAlignment="1">
      <alignment vertical="center"/>
    </xf>
    <xf numFmtId="0" fontId="13" fillId="4" borderId="4" xfId="0" applyFont="1" applyFill="1" applyBorder="1" applyAlignment="1">
      <alignment vertical="center"/>
    </xf>
    <xf numFmtId="0" fontId="23" fillId="0" borderId="4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center" vertical="center"/>
    </xf>
    <xf numFmtId="42" fontId="24" fillId="0" borderId="1" xfId="1" applyFont="1" applyBorder="1">
      <alignment horizontal="left" vertical="center" indent="3"/>
    </xf>
    <xf numFmtId="164" fontId="24" fillId="0" borderId="1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top" wrapText="1"/>
    </xf>
    <xf numFmtId="0" fontId="25" fillId="0" borderId="4" xfId="0" applyFont="1" applyBorder="1" applyAlignment="1">
      <alignment horizontal="left" vertical="top" wrapText="1"/>
    </xf>
    <xf numFmtId="165" fontId="23" fillId="0" borderId="1" xfId="0" applyNumberFormat="1" applyFont="1" applyBorder="1" applyAlignment="1">
      <alignment horizontal="center" vertical="center"/>
    </xf>
    <xf numFmtId="164" fontId="23" fillId="0" borderId="1" xfId="0" applyNumberFormat="1" applyFont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42" fontId="28" fillId="0" borderId="1" xfId="1" applyFont="1" applyBorder="1">
      <alignment horizontal="left" vertical="center" indent="3"/>
    </xf>
    <xf numFmtId="0" fontId="25" fillId="2" borderId="1" xfId="0" applyFont="1" applyFill="1" applyBorder="1" applyAlignment="1">
      <alignment horizontal="left" vertical="top" wrapText="1"/>
    </xf>
    <xf numFmtId="0" fontId="23" fillId="2" borderId="1" xfId="0" applyFont="1" applyFill="1" applyBorder="1" applyAlignment="1">
      <alignment horizontal="center" vertical="center"/>
    </xf>
    <xf numFmtId="165" fontId="23" fillId="2" borderId="1" xfId="0" applyNumberFormat="1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left" vertical="top" wrapText="1"/>
    </xf>
    <xf numFmtId="0" fontId="23" fillId="2" borderId="4" xfId="0" applyFont="1" applyFill="1" applyBorder="1" applyAlignment="1">
      <alignment horizontal="left" vertical="top" wrapText="1"/>
    </xf>
    <xf numFmtId="0" fontId="23" fillId="0" borderId="4" xfId="0" applyFont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top" wrapText="1"/>
    </xf>
    <xf numFmtId="1" fontId="23" fillId="0" borderId="1" xfId="0" applyNumberFormat="1" applyFont="1" applyBorder="1" applyAlignment="1">
      <alignment horizontal="center" vertical="center"/>
    </xf>
    <xf numFmtId="0" fontId="27" fillId="4" borderId="4" xfId="0" applyFont="1" applyFill="1" applyBorder="1" applyAlignment="1">
      <alignment vertical="center"/>
    </xf>
    <xf numFmtId="165" fontId="27" fillId="4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vertical="top" wrapText="1" shrinkToFit="1"/>
    </xf>
    <xf numFmtId="0" fontId="25" fillId="0" borderId="1" xfId="0" applyFont="1" applyBorder="1" applyAlignment="1">
      <alignment vertical="top" wrapText="1"/>
    </xf>
    <xf numFmtId="0" fontId="25" fillId="0" borderId="1" xfId="0" applyFont="1" applyBorder="1" applyAlignment="1">
      <alignment vertical="top"/>
    </xf>
    <xf numFmtId="0" fontId="23" fillId="0" borderId="1" xfId="0" applyFont="1" applyBorder="1" applyAlignment="1">
      <alignment vertical="top" wrapText="1"/>
    </xf>
    <xf numFmtId="0" fontId="25" fillId="0" borderId="4" xfId="0" applyFont="1" applyBorder="1" applyAlignment="1">
      <alignment vertical="top" wrapText="1"/>
    </xf>
    <xf numFmtId="0" fontId="23" fillId="0" borderId="4" xfId="0" applyFont="1" applyBorder="1" applyAlignment="1">
      <alignment vertical="top" wrapText="1"/>
    </xf>
    <xf numFmtId="0" fontId="31" fillId="0" borderId="1" xfId="0" applyFont="1" applyBorder="1" applyAlignment="1">
      <alignment vertical="top"/>
    </xf>
    <xf numFmtId="0" fontId="29" fillId="0" borderId="0" xfId="0" applyFont="1" applyAlignment="1">
      <alignment vertical="top"/>
    </xf>
    <xf numFmtId="0" fontId="13" fillId="4" borderId="5" xfId="0" applyFont="1" applyFill="1" applyBorder="1" applyAlignment="1">
      <alignment vertical="center"/>
    </xf>
    <xf numFmtId="0" fontId="32" fillId="4" borderId="5" xfId="0" applyFont="1" applyFill="1" applyBorder="1" applyAlignment="1">
      <alignment vertical="center"/>
    </xf>
    <xf numFmtId="0" fontId="27" fillId="4" borderId="5" xfId="0" applyFont="1" applyFill="1" applyBorder="1" applyAlignment="1">
      <alignment vertical="center"/>
    </xf>
    <xf numFmtId="165" fontId="32" fillId="4" borderId="5" xfId="0" applyNumberFormat="1" applyFont="1" applyFill="1" applyBorder="1" applyAlignment="1">
      <alignment vertical="center"/>
    </xf>
    <xf numFmtId="42" fontId="33" fillId="4" borderId="5" xfId="0" applyNumberFormat="1" applyFont="1" applyFill="1" applyBorder="1" applyAlignment="1">
      <alignment vertical="center"/>
    </xf>
    <xf numFmtId="165" fontId="34" fillId="5" borderId="5" xfId="0" applyNumberFormat="1" applyFont="1" applyFill="1" applyBorder="1" applyAlignment="1">
      <alignment vertical="center"/>
    </xf>
    <xf numFmtId="0" fontId="35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35" fillId="0" borderId="0" xfId="0" applyFont="1"/>
    <xf numFmtId="0" fontId="16" fillId="0" borderId="1" xfId="0" applyFont="1" applyBorder="1"/>
    <xf numFmtId="42" fontId="0" fillId="0" borderId="0" xfId="0" applyNumberFormat="1"/>
    <xf numFmtId="165" fontId="0" fillId="0" borderId="0" xfId="0" applyNumberFormat="1"/>
    <xf numFmtId="1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14" fontId="3" fillId="0" borderId="0" xfId="0" applyNumberFormat="1" applyFont="1" applyAlignment="1">
      <alignment horizontal="center"/>
    </xf>
    <xf numFmtId="0" fontId="26" fillId="0" borderId="1" xfId="0" applyFont="1" applyBorder="1" applyAlignment="1">
      <alignment horizontal="right" vertical="top" wrapText="1"/>
    </xf>
    <xf numFmtId="0" fontId="26" fillId="0" borderId="3" xfId="0" applyFont="1" applyBorder="1" applyAlignment="1">
      <alignment horizontal="right" vertical="top" wrapText="1"/>
    </xf>
    <xf numFmtId="0" fontId="26" fillId="0" borderId="5" xfId="0" applyFont="1" applyBorder="1" applyAlignment="1">
      <alignment horizontal="right" vertical="top" wrapText="1"/>
    </xf>
    <xf numFmtId="0" fontId="26" fillId="0" borderId="4" xfId="0" applyFont="1" applyBorder="1" applyAlignment="1">
      <alignment horizontal="right" vertical="top" wrapText="1"/>
    </xf>
    <xf numFmtId="0" fontId="13" fillId="4" borderId="3" xfId="0" applyFont="1" applyFill="1" applyBorder="1" applyAlignment="1">
      <alignment horizontal="right" vertical="center"/>
    </xf>
    <xf numFmtId="0" fontId="13" fillId="4" borderId="5" xfId="0" applyFont="1" applyFill="1" applyBorder="1" applyAlignment="1">
      <alignment horizontal="right" vertical="center"/>
    </xf>
    <xf numFmtId="0" fontId="13" fillId="4" borderId="4" xfId="0" applyFont="1" applyFill="1" applyBorder="1" applyAlignment="1">
      <alignment horizontal="right" vertical="center"/>
    </xf>
    <xf numFmtId="0" fontId="30" fillId="0" borderId="3" xfId="0" applyFont="1" applyBorder="1" applyAlignment="1">
      <alignment horizontal="right" vertical="top" wrapText="1"/>
    </xf>
    <xf numFmtId="0" fontId="30" fillId="0" borderId="5" xfId="0" applyFont="1" applyBorder="1" applyAlignment="1">
      <alignment horizontal="right" vertical="top" wrapText="1"/>
    </xf>
    <xf numFmtId="0" fontId="30" fillId="0" borderId="4" xfId="0" applyFont="1" applyBorder="1" applyAlignment="1">
      <alignment horizontal="right" vertical="top" wrapText="1"/>
    </xf>
  </cellXfs>
  <cellStyles count="2">
    <cellStyle name="Начертание 1" xfId="1" xr:uid="{2808E9E5-5356-D94B-8569-C10AE6F8AE13}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2616200</xdr:colOff>
          <xdr:row>3</xdr:row>
          <xdr:rowOff>25400</xdr:rowOff>
        </xdr:from>
        <xdr:to>
          <xdr:col>1</xdr:col>
          <xdr:colOff>4953000</xdr:colOff>
          <xdr:row>5</xdr:row>
          <xdr:rowOff>152400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927100</xdr:colOff>
          <xdr:row>3</xdr:row>
          <xdr:rowOff>139700</xdr:rowOff>
        </xdr:from>
        <xdr:to>
          <xdr:col>8</xdr:col>
          <xdr:colOff>533400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калькуляция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39C7-1E3B-484A-85AE-38353593339B}">
  <sheetPr codeName="Лист1"/>
  <dimension ref="A1:XFC400"/>
  <sheetViews>
    <sheetView tabSelected="1" view="pageBreakPreview" zoomScale="111" zoomScaleNormal="99" workbookViewId="0">
      <selection activeCell="E22" sqref="E22"/>
    </sheetView>
  </sheetViews>
  <sheetFormatPr baseColWidth="10" defaultRowHeight="16" x14ac:dyDescent="0.2"/>
  <cols>
    <col min="1" max="1" width="3.83203125" style="72" customWidth="1"/>
    <col min="2" max="2" width="65.83203125" customWidth="1"/>
    <col min="3" max="3" width="7.33203125" customWidth="1"/>
    <col min="4" max="4" width="12.5" style="33" hidden="1" customWidth="1"/>
    <col min="5" max="5" width="12.6640625" style="33" customWidth="1"/>
    <col min="6" max="6" width="7" customWidth="1"/>
    <col min="7" max="7" width="12.83203125" hidden="1" customWidth="1"/>
    <col min="8" max="8" width="13" customWidth="1"/>
    <col min="10" max="11" width="10.83203125" customWidth="1"/>
    <col min="16381" max="16384" width="0" hidden="1" customWidth="1"/>
  </cols>
  <sheetData>
    <row r="1" spans="1:15 16381:16383" x14ac:dyDescent="0.2">
      <c r="A1" s="70"/>
      <c r="B1" s="83" t="str">
        <f ca="1">"Коммерческое предложение № 90 от "&amp; TEXT(TODAY(),"ДД.ММ.ГГ")</f>
        <v>Коммерческое предложение № 90 от 26.06.26</v>
      </c>
      <c r="C1" s="83"/>
      <c r="D1" s="83"/>
      <c r="E1" s="83"/>
      <c r="F1" s="83"/>
      <c r="G1" s="83"/>
      <c r="H1" s="83"/>
      <c r="XFA1">
        <v>1</v>
      </c>
      <c r="XFC1">
        <v>1</v>
      </c>
    </row>
    <row r="2" spans="1:15 16381:16383" x14ac:dyDescent="0.2">
      <c r="A2" s="70"/>
      <c r="B2" s="1"/>
      <c r="C2" s="2"/>
      <c r="D2" s="28"/>
      <c r="E2" s="28"/>
      <c r="F2" s="3"/>
      <c r="G2" s="4"/>
      <c r="H2" s="4"/>
    </row>
    <row r="3" spans="1:15 16381:16383" x14ac:dyDescent="0.2">
      <c r="A3" s="70"/>
      <c r="B3" s="5" t="s">
        <v>0</v>
      </c>
      <c r="C3" s="6"/>
      <c r="D3" s="29"/>
      <c r="E3" s="30">
        <f>H211</f>
        <v>185280</v>
      </c>
      <c r="F3" s="7"/>
      <c r="G3" s="4"/>
      <c r="H3" s="4"/>
    </row>
    <row r="4" spans="1:15 16381:16383" x14ac:dyDescent="0.2">
      <c r="A4" s="70"/>
      <c r="B4" s="8" t="s">
        <v>190</v>
      </c>
      <c r="C4" s="9"/>
      <c r="D4" s="31"/>
      <c r="E4" s="31"/>
      <c r="F4" s="10"/>
      <c r="G4" s="11"/>
      <c r="H4" s="11"/>
    </row>
    <row r="5" spans="1:15 16381:16383" x14ac:dyDescent="0.2">
      <c r="A5" s="70"/>
      <c r="B5" s="12" t="s">
        <v>191</v>
      </c>
      <c r="C5" s="13"/>
      <c r="D5" s="32"/>
      <c r="E5" s="32"/>
      <c r="F5" s="14"/>
      <c r="G5" s="11"/>
      <c r="H5" s="11"/>
    </row>
    <row r="6" spans="1:15 16381:16383" x14ac:dyDescent="0.2">
      <c r="A6" s="70"/>
      <c r="B6" s="12" t="s">
        <v>1</v>
      </c>
      <c r="C6" s="13"/>
      <c r="D6" s="32"/>
      <c r="E6" s="32"/>
      <c r="F6" s="14"/>
      <c r="G6" s="11"/>
      <c r="H6" s="11"/>
    </row>
    <row r="7" spans="1:15 16381:16383" x14ac:dyDescent="0.2">
      <c r="A7" s="70"/>
      <c r="B7" s="12" t="s">
        <v>192</v>
      </c>
      <c r="C7" s="13"/>
      <c r="D7" s="32"/>
      <c r="E7" s="32"/>
      <c r="F7" s="14"/>
      <c r="G7" s="11"/>
      <c r="H7" s="11"/>
    </row>
    <row r="8" spans="1:15 16381:16383" x14ac:dyDescent="0.2">
      <c r="A8" s="70"/>
      <c r="B8" s="12" t="s">
        <v>193</v>
      </c>
      <c r="C8" s="13"/>
      <c r="D8" s="32"/>
      <c r="E8" s="32"/>
      <c r="F8" s="14"/>
      <c r="G8" s="11"/>
      <c r="H8" s="11"/>
    </row>
    <row r="9" spans="1:15 16381:16383" x14ac:dyDescent="0.2">
      <c r="A9" s="70"/>
      <c r="B9" s="12" t="s">
        <v>2</v>
      </c>
      <c r="C9" s="13"/>
      <c r="D9" s="32"/>
      <c r="E9" s="32"/>
      <c r="F9" s="14"/>
      <c r="G9" s="11"/>
      <c r="H9" s="11"/>
    </row>
    <row r="10" spans="1:15 16381:16383" x14ac:dyDescent="0.2">
      <c r="A10" s="70"/>
      <c r="B10" s="15" t="s">
        <v>3</v>
      </c>
      <c r="C10" s="16">
        <v>1</v>
      </c>
      <c r="D10" s="32"/>
      <c r="E10" s="32"/>
      <c r="F10" s="17"/>
      <c r="G10" s="11"/>
      <c r="H10" s="11"/>
    </row>
    <row r="11" spans="1:15 16381:16383" x14ac:dyDescent="0.2">
      <c r="A11" s="70"/>
      <c r="B11" s="18" t="s">
        <v>4</v>
      </c>
      <c r="C11" s="19">
        <v>1</v>
      </c>
      <c r="D11" s="32"/>
      <c r="E11" s="32" t="s">
        <v>5</v>
      </c>
      <c r="F11" s="17"/>
      <c r="G11" s="11"/>
      <c r="H11" s="11"/>
    </row>
    <row r="12" spans="1:15 16381:16383" ht="34" customHeight="1" x14ac:dyDescent="0.2">
      <c r="A12" s="20" t="s">
        <v>6</v>
      </c>
      <c r="B12" s="21" t="s">
        <v>7</v>
      </c>
      <c r="C12" s="22" t="s">
        <v>8</v>
      </c>
      <c r="D12" s="23" t="s">
        <v>9</v>
      </c>
      <c r="E12" s="23" t="s">
        <v>9</v>
      </c>
      <c r="F12" s="24" t="s">
        <v>10</v>
      </c>
      <c r="G12" s="23" t="s">
        <v>11</v>
      </c>
      <c r="H12" s="23" t="s">
        <v>11</v>
      </c>
      <c r="I12" s="78"/>
      <c r="J12" s="78"/>
      <c r="K12" s="78"/>
      <c r="L12" s="79"/>
      <c r="M12" s="79"/>
      <c r="N12" s="79"/>
      <c r="O12" s="77"/>
    </row>
    <row r="13" spans="1:15 16381:16383" ht="18" customHeight="1" x14ac:dyDescent="0.2">
      <c r="A13" s="34" t="s">
        <v>189</v>
      </c>
      <c r="B13" s="64"/>
      <c r="C13" s="65">
        <v>1</v>
      </c>
      <c r="D13" s="64"/>
      <c r="E13" s="64"/>
      <c r="F13" s="64"/>
      <c r="G13" s="67">
        <f>G48</f>
        <v>46500</v>
      </c>
      <c r="H13" s="35"/>
      <c r="I13" s="76"/>
      <c r="J13" s="76"/>
      <c r="K13" s="76"/>
      <c r="L13" s="76"/>
      <c r="M13" s="76"/>
      <c r="N13" s="76"/>
    </row>
    <row r="14" spans="1:15 16381:16383" ht="35" hidden="1" customHeight="1" x14ac:dyDescent="0.2">
      <c r="A14" s="25">
        <v>1</v>
      </c>
      <c r="B14" s="36" t="s">
        <v>12</v>
      </c>
      <c r="C14" s="37"/>
      <c r="D14" s="38">
        <v>3500</v>
      </c>
      <c r="E14" s="38">
        <f t="shared" ref="E14:E47" si="0">_xlfn.CEILING.MATH(D14+($C$10*((D14/0.9)-D14)),10,3)</f>
        <v>3890</v>
      </c>
      <c r="F14" s="39">
        <f t="shared" ref="F14:F42" si="1">($C$11-1)*1/2+1</f>
        <v>1</v>
      </c>
      <c r="G14" s="38">
        <f t="shared" ref="G14:G47" si="2">F14*D14*C14</f>
        <v>0</v>
      </c>
      <c r="H14" s="38">
        <f t="shared" ref="H14:H47" si="3">F14*E14*C14</f>
        <v>0</v>
      </c>
      <c r="I14" s="74"/>
    </row>
    <row r="15" spans="1:15 16381:16383" ht="35" hidden="1" customHeight="1" x14ac:dyDescent="0.2">
      <c r="A15" s="25">
        <v>2</v>
      </c>
      <c r="B15" s="36" t="s">
        <v>13</v>
      </c>
      <c r="C15" s="37"/>
      <c r="D15" s="38">
        <v>1</v>
      </c>
      <c r="E15" s="38">
        <f t="shared" si="0"/>
        <v>10</v>
      </c>
      <c r="F15" s="39">
        <f t="shared" si="1"/>
        <v>1</v>
      </c>
      <c r="G15" s="38">
        <f t="shared" si="2"/>
        <v>0</v>
      </c>
      <c r="H15" s="38">
        <f t="shared" si="3"/>
        <v>0</v>
      </c>
      <c r="I15" s="74"/>
    </row>
    <row r="16" spans="1:15 16381:16383" ht="35" hidden="1" customHeight="1" x14ac:dyDescent="0.2">
      <c r="A16" s="25">
        <v>3</v>
      </c>
      <c r="B16" s="36" t="s">
        <v>14</v>
      </c>
      <c r="C16" s="37"/>
      <c r="D16" s="38">
        <v>3500</v>
      </c>
      <c r="E16" s="38">
        <f t="shared" si="0"/>
        <v>3890</v>
      </c>
      <c r="F16" s="39">
        <f t="shared" si="1"/>
        <v>1</v>
      </c>
      <c r="G16" s="38">
        <f t="shared" si="2"/>
        <v>0</v>
      </c>
      <c r="H16" s="38">
        <f t="shared" si="3"/>
        <v>0</v>
      </c>
      <c r="I16" s="74"/>
    </row>
    <row r="17" spans="1:9" ht="18" hidden="1" customHeight="1" x14ac:dyDescent="0.2">
      <c r="A17" s="25">
        <v>4</v>
      </c>
      <c r="B17" s="36" t="s">
        <v>15</v>
      </c>
      <c r="C17" s="37"/>
      <c r="D17" s="38">
        <v>3500</v>
      </c>
      <c r="E17" s="38">
        <v>20000</v>
      </c>
      <c r="F17" s="39">
        <f t="shared" si="1"/>
        <v>1</v>
      </c>
      <c r="G17" s="38">
        <f t="shared" si="2"/>
        <v>0</v>
      </c>
      <c r="H17" s="38">
        <f t="shared" si="3"/>
        <v>0</v>
      </c>
      <c r="I17" s="74"/>
    </row>
    <row r="18" spans="1:9" ht="45" hidden="1" customHeight="1" x14ac:dyDescent="0.2">
      <c r="A18" s="25">
        <v>5</v>
      </c>
      <c r="B18" s="36" t="s">
        <v>16</v>
      </c>
      <c r="C18" s="37"/>
      <c r="D18" s="38">
        <v>15000</v>
      </c>
      <c r="E18" s="38">
        <f t="shared" si="0"/>
        <v>16670</v>
      </c>
      <c r="F18" s="39">
        <f t="shared" si="1"/>
        <v>1</v>
      </c>
      <c r="G18" s="38">
        <f t="shared" si="2"/>
        <v>0</v>
      </c>
      <c r="H18" s="38">
        <f t="shared" si="3"/>
        <v>0</v>
      </c>
      <c r="I18" s="74"/>
    </row>
    <row r="19" spans="1:9" ht="35" hidden="1" customHeight="1" x14ac:dyDescent="0.2">
      <c r="A19" s="25">
        <v>6</v>
      </c>
      <c r="B19" s="36" t="s">
        <v>17</v>
      </c>
      <c r="C19" s="37"/>
      <c r="D19" s="38">
        <v>6000</v>
      </c>
      <c r="E19" s="38">
        <f t="shared" si="0"/>
        <v>6670</v>
      </c>
      <c r="F19" s="39">
        <f t="shared" si="1"/>
        <v>1</v>
      </c>
      <c r="G19" s="38">
        <f t="shared" si="2"/>
        <v>0</v>
      </c>
      <c r="H19" s="38">
        <f t="shared" si="3"/>
        <v>0</v>
      </c>
      <c r="I19" s="74"/>
    </row>
    <row r="20" spans="1:9" ht="17" hidden="1" customHeight="1" x14ac:dyDescent="0.2">
      <c r="A20" s="25">
        <v>7</v>
      </c>
      <c r="B20" s="36" t="s">
        <v>18</v>
      </c>
      <c r="C20" s="37"/>
      <c r="D20" s="38">
        <v>2000</v>
      </c>
      <c r="E20" s="38">
        <f t="shared" si="0"/>
        <v>2230</v>
      </c>
      <c r="F20" s="39">
        <f t="shared" si="1"/>
        <v>1</v>
      </c>
      <c r="G20" s="38">
        <f t="shared" si="2"/>
        <v>0</v>
      </c>
      <c r="H20" s="38">
        <f t="shared" si="3"/>
        <v>0</v>
      </c>
      <c r="I20" s="74"/>
    </row>
    <row r="21" spans="1:9" ht="17" hidden="1" customHeight="1" x14ac:dyDescent="0.2">
      <c r="A21" s="25">
        <v>8</v>
      </c>
      <c r="B21" s="36" t="s">
        <v>19</v>
      </c>
      <c r="C21" s="37"/>
      <c r="D21" s="38">
        <v>1500</v>
      </c>
      <c r="E21" s="38">
        <f t="shared" si="0"/>
        <v>1670</v>
      </c>
      <c r="F21" s="39">
        <f t="shared" si="1"/>
        <v>1</v>
      </c>
      <c r="G21" s="38">
        <f t="shared" si="2"/>
        <v>0</v>
      </c>
      <c r="H21" s="38">
        <f t="shared" si="3"/>
        <v>0</v>
      </c>
      <c r="I21" s="74"/>
    </row>
    <row r="22" spans="1:9" ht="17" customHeight="1" x14ac:dyDescent="0.2">
      <c r="A22" s="25">
        <v>1</v>
      </c>
      <c r="B22" s="36" t="s">
        <v>196</v>
      </c>
      <c r="C22" s="37">
        <v>2</v>
      </c>
      <c r="D22" s="38">
        <v>4000</v>
      </c>
      <c r="E22" s="38">
        <f t="shared" si="0"/>
        <v>4450</v>
      </c>
      <c r="F22" s="39">
        <f t="shared" si="1"/>
        <v>1</v>
      </c>
      <c r="G22" s="38">
        <f t="shared" si="2"/>
        <v>8000</v>
      </c>
      <c r="H22" s="38">
        <f t="shared" si="3"/>
        <v>8900</v>
      </c>
      <c r="I22" s="74"/>
    </row>
    <row r="23" spans="1:9" ht="29" customHeight="1" x14ac:dyDescent="0.2">
      <c r="A23" s="25">
        <v>2</v>
      </c>
      <c r="B23" s="36" t="s">
        <v>198</v>
      </c>
      <c r="C23" s="37">
        <v>2</v>
      </c>
      <c r="D23" s="38">
        <v>4000</v>
      </c>
      <c r="E23" s="38">
        <f t="shared" si="0"/>
        <v>4450</v>
      </c>
      <c r="F23" s="39">
        <f t="shared" si="1"/>
        <v>1</v>
      </c>
      <c r="G23" s="38">
        <f t="shared" si="2"/>
        <v>8000</v>
      </c>
      <c r="H23" s="38">
        <f t="shared" si="3"/>
        <v>8900</v>
      </c>
      <c r="I23" s="74"/>
    </row>
    <row r="24" spans="1:9" ht="18" hidden="1" customHeight="1" x14ac:dyDescent="0.2">
      <c r="A24" s="25">
        <v>11</v>
      </c>
      <c r="B24" s="36" t="s">
        <v>20</v>
      </c>
      <c r="C24" s="37"/>
      <c r="D24" s="38">
        <v>18000</v>
      </c>
      <c r="E24" s="38">
        <f t="shared" si="0"/>
        <v>20000</v>
      </c>
      <c r="F24" s="39">
        <f t="shared" si="1"/>
        <v>1</v>
      </c>
      <c r="G24" s="38">
        <f t="shared" si="2"/>
        <v>0</v>
      </c>
      <c r="H24" s="38">
        <f t="shared" si="3"/>
        <v>0</v>
      </c>
      <c r="I24" s="74"/>
    </row>
    <row r="25" spans="1:9" ht="18" hidden="1" customHeight="1" x14ac:dyDescent="0.2">
      <c r="A25" s="25">
        <v>12</v>
      </c>
      <c r="B25" s="36" t="s">
        <v>21</v>
      </c>
      <c r="C25" s="37"/>
      <c r="D25" s="38">
        <v>1500</v>
      </c>
      <c r="E25" s="38">
        <f t="shared" si="0"/>
        <v>1670</v>
      </c>
      <c r="F25" s="39">
        <f t="shared" si="1"/>
        <v>1</v>
      </c>
      <c r="G25" s="38">
        <f t="shared" si="2"/>
        <v>0</v>
      </c>
      <c r="H25" s="38">
        <f t="shared" si="3"/>
        <v>0</v>
      </c>
      <c r="I25" s="74"/>
    </row>
    <row r="26" spans="1:9" ht="18" hidden="1" customHeight="1" x14ac:dyDescent="0.2">
      <c r="A26" s="25">
        <v>13</v>
      </c>
      <c r="B26" s="36" t="s">
        <v>22</v>
      </c>
      <c r="C26" s="37"/>
      <c r="D26" s="38">
        <v>2000</v>
      </c>
      <c r="E26" s="38">
        <f t="shared" si="0"/>
        <v>2230</v>
      </c>
      <c r="F26" s="39">
        <f t="shared" si="1"/>
        <v>1</v>
      </c>
      <c r="G26" s="38">
        <f t="shared" si="2"/>
        <v>0</v>
      </c>
      <c r="H26" s="38">
        <f t="shared" si="3"/>
        <v>0</v>
      </c>
      <c r="I26" s="74"/>
    </row>
    <row r="27" spans="1:9" ht="35" hidden="1" customHeight="1" x14ac:dyDescent="0.2">
      <c r="A27" s="25">
        <v>14</v>
      </c>
      <c r="B27" s="36" t="s">
        <v>23</v>
      </c>
      <c r="C27" s="37"/>
      <c r="D27" s="38">
        <v>4000</v>
      </c>
      <c r="E27" s="38">
        <f t="shared" si="0"/>
        <v>4450</v>
      </c>
      <c r="F27" s="39">
        <f t="shared" si="1"/>
        <v>1</v>
      </c>
      <c r="G27" s="38">
        <f t="shared" si="2"/>
        <v>0</v>
      </c>
      <c r="H27" s="38">
        <f t="shared" si="3"/>
        <v>0</v>
      </c>
      <c r="I27" s="74"/>
    </row>
    <row r="28" spans="1:9" ht="19" customHeight="1" x14ac:dyDescent="0.2">
      <c r="A28" s="25">
        <v>3</v>
      </c>
      <c r="B28" s="36" t="s">
        <v>24</v>
      </c>
      <c r="C28" s="37">
        <v>1</v>
      </c>
      <c r="D28" s="38">
        <v>5000</v>
      </c>
      <c r="E28" s="38">
        <f t="shared" si="0"/>
        <v>5560</v>
      </c>
      <c r="F28" s="39">
        <f t="shared" si="1"/>
        <v>1</v>
      </c>
      <c r="G28" s="38">
        <f t="shared" si="2"/>
        <v>5000</v>
      </c>
      <c r="H28" s="38">
        <f t="shared" si="3"/>
        <v>5560</v>
      </c>
      <c r="I28" s="74"/>
    </row>
    <row r="29" spans="1:9" ht="19" hidden="1" customHeight="1" x14ac:dyDescent="0.2">
      <c r="A29" s="25">
        <v>16</v>
      </c>
      <c r="B29" s="36" t="s">
        <v>25</v>
      </c>
      <c r="C29" s="37"/>
      <c r="D29" s="38">
        <v>3000</v>
      </c>
      <c r="E29" s="38">
        <f t="shared" si="0"/>
        <v>3340</v>
      </c>
      <c r="F29" s="39">
        <f t="shared" si="1"/>
        <v>1</v>
      </c>
      <c r="G29" s="38">
        <f t="shared" si="2"/>
        <v>0</v>
      </c>
      <c r="H29" s="38">
        <f t="shared" si="3"/>
        <v>0</v>
      </c>
      <c r="I29" s="74"/>
    </row>
    <row r="30" spans="1:9" ht="35" hidden="1" customHeight="1" x14ac:dyDescent="0.2">
      <c r="A30" s="25">
        <v>17</v>
      </c>
      <c r="B30" s="36" t="s">
        <v>26</v>
      </c>
      <c r="C30" s="37"/>
      <c r="D30" s="38">
        <v>1000</v>
      </c>
      <c r="E30" s="38">
        <f t="shared" si="0"/>
        <v>1120</v>
      </c>
      <c r="F30" s="39">
        <f t="shared" si="1"/>
        <v>1</v>
      </c>
      <c r="G30" s="38">
        <f t="shared" si="2"/>
        <v>0</v>
      </c>
      <c r="H30" s="38">
        <f t="shared" si="3"/>
        <v>0</v>
      </c>
      <c r="I30" s="74"/>
    </row>
    <row r="31" spans="1:9" ht="18" hidden="1" customHeight="1" x14ac:dyDescent="0.2">
      <c r="A31" s="25">
        <v>18</v>
      </c>
      <c r="B31" s="36" t="s">
        <v>27</v>
      </c>
      <c r="C31" s="37"/>
      <c r="D31" s="38">
        <v>1200</v>
      </c>
      <c r="E31" s="38">
        <f t="shared" si="0"/>
        <v>1340</v>
      </c>
      <c r="F31" s="39">
        <f t="shared" si="1"/>
        <v>1</v>
      </c>
      <c r="G31" s="38">
        <f t="shared" si="2"/>
        <v>0</v>
      </c>
      <c r="H31" s="38">
        <f t="shared" si="3"/>
        <v>0</v>
      </c>
      <c r="I31" s="74"/>
    </row>
    <row r="32" spans="1:9" ht="18" hidden="1" customHeight="1" x14ac:dyDescent="0.2">
      <c r="A32" s="25">
        <v>19</v>
      </c>
      <c r="B32" s="36" t="s">
        <v>28</v>
      </c>
      <c r="C32" s="37"/>
      <c r="D32" s="38">
        <v>1200</v>
      </c>
      <c r="E32" s="38">
        <f t="shared" si="0"/>
        <v>1340</v>
      </c>
      <c r="F32" s="39">
        <f t="shared" si="1"/>
        <v>1</v>
      </c>
      <c r="G32" s="38">
        <f t="shared" si="2"/>
        <v>0</v>
      </c>
      <c r="H32" s="38">
        <f t="shared" si="3"/>
        <v>0</v>
      </c>
      <c r="I32" s="74"/>
    </row>
    <row r="33" spans="1:9" ht="18" hidden="1" customHeight="1" x14ac:dyDescent="0.2">
      <c r="A33" s="25">
        <v>22</v>
      </c>
      <c r="B33" s="36" t="s">
        <v>29</v>
      </c>
      <c r="C33" s="37"/>
      <c r="D33" s="38">
        <v>1500</v>
      </c>
      <c r="E33" s="38">
        <f t="shared" si="0"/>
        <v>1670</v>
      </c>
      <c r="F33" s="39">
        <f t="shared" si="1"/>
        <v>1</v>
      </c>
      <c r="G33" s="38">
        <f t="shared" si="2"/>
        <v>0</v>
      </c>
      <c r="H33" s="38">
        <f t="shared" si="3"/>
        <v>0</v>
      </c>
      <c r="I33" s="74"/>
    </row>
    <row r="34" spans="1:9" ht="18" customHeight="1" x14ac:dyDescent="0.2">
      <c r="A34" s="25">
        <v>4</v>
      </c>
      <c r="B34" s="36" t="s">
        <v>30</v>
      </c>
      <c r="C34" s="37">
        <v>2</v>
      </c>
      <c r="D34" s="38">
        <v>3000</v>
      </c>
      <c r="E34" s="38">
        <f t="shared" si="0"/>
        <v>3340</v>
      </c>
      <c r="F34" s="39">
        <f t="shared" si="1"/>
        <v>1</v>
      </c>
      <c r="G34" s="38">
        <f t="shared" si="2"/>
        <v>6000</v>
      </c>
      <c r="H34" s="38">
        <f t="shared" si="3"/>
        <v>6680</v>
      </c>
      <c r="I34" s="74"/>
    </row>
    <row r="35" spans="1:9" ht="18" hidden="1" customHeight="1" x14ac:dyDescent="0.2">
      <c r="A35" s="25">
        <v>24</v>
      </c>
      <c r="B35" s="36" t="s">
        <v>31</v>
      </c>
      <c r="C35" s="37"/>
      <c r="D35" s="38">
        <v>3000</v>
      </c>
      <c r="E35" s="38">
        <f t="shared" si="0"/>
        <v>3340</v>
      </c>
      <c r="F35" s="39">
        <f t="shared" si="1"/>
        <v>1</v>
      </c>
      <c r="G35" s="38">
        <f t="shared" si="2"/>
        <v>0</v>
      </c>
      <c r="H35" s="38">
        <f t="shared" si="3"/>
        <v>0</v>
      </c>
      <c r="I35" s="74"/>
    </row>
    <row r="36" spans="1:9" ht="18" hidden="1" customHeight="1" x14ac:dyDescent="0.2">
      <c r="A36" s="25">
        <v>25</v>
      </c>
      <c r="B36" s="36" t="s">
        <v>32</v>
      </c>
      <c r="C36" s="37"/>
      <c r="D36" s="38">
        <v>1000</v>
      </c>
      <c r="E36" s="38">
        <f t="shared" si="0"/>
        <v>1120</v>
      </c>
      <c r="F36" s="39">
        <f t="shared" si="1"/>
        <v>1</v>
      </c>
      <c r="G36" s="38">
        <f t="shared" si="2"/>
        <v>0</v>
      </c>
      <c r="H36" s="38">
        <f t="shared" si="3"/>
        <v>0</v>
      </c>
      <c r="I36" s="74"/>
    </row>
    <row r="37" spans="1:9" ht="18" hidden="1" customHeight="1" x14ac:dyDescent="0.2">
      <c r="A37" s="25">
        <v>2</v>
      </c>
      <c r="B37" s="36" t="s">
        <v>33</v>
      </c>
      <c r="C37" s="37"/>
      <c r="D37" s="38">
        <v>1500</v>
      </c>
      <c r="E37" s="38">
        <f t="shared" si="0"/>
        <v>1670</v>
      </c>
      <c r="F37" s="39">
        <f t="shared" si="1"/>
        <v>1</v>
      </c>
      <c r="G37" s="38">
        <f t="shared" si="2"/>
        <v>0</v>
      </c>
      <c r="H37" s="38">
        <f t="shared" si="3"/>
        <v>0</v>
      </c>
      <c r="I37" s="74"/>
    </row>
    <row r="38" spans="1:9" ht="18" hidden="1" customHeight="1" x14ac:dyDescent="0.2">
      <c r="A38" s="25">
        <v>27</v>
      </c>
      <c r="B38" s="36" t="s">
        <v>34</v>
      </c>
      <c r="C38" s="37"/>
      <c r="D38" s="38">
        <v>3000</v>
      </c>
      <c r="E38" s="38">
        <f t="shared" si="0"/>
        <v>3340</v>
      </c>
      <c r="F38" s="39">
        <f t="shared" si="1"/>
        <v>1</v>
      </c>
      <c r="G38" s="38">
        <f t="shared" si="2"/>
        <v>0</v>
      </c>
      <c r="H38" s="38">
        <f t="shared" si="3"/>
        <v>0</v>
      </c>
      <c r="I38" s="74"/>
    </row>
    <row r="39" spans="1:9" ht="18" hidden="1" customHeight="1" x14ac:dyDescent="0.2">
      <c r="A39" s="25">
        <v>28</v>
      </c>
      <c r="B39" s="36" t="s">
        <v>35</v>
      </c>
      <c r="C39" s="37"/>
      <c r="D39" s="38">
        <v>500</v>
      </c>
      <c r="E39" s="38">
        <f t="shared" si="0"/>
        <v>560</v>
      </c>
      <c r="F39" s="39">
        <f t="shared" si="1"/>
        <v>1</v>
      </c>
      <c r="G39" s="38">
        <f t="shared" si="2"/>
        <v>0</v>
      </c>
      <c r="H39" s="38">
        <f t="shared" si="3"/>
        <v>0</v>
      </c>
      <c r="I39" s="74"/>
    </row>
    <row r="40" spans="1:9" ht="35" hidden="1" customHeight="1" x14ac:dyDescent="0.2">
      <c r="A40" s="25">
        <v>29</v>
      </c>
      <c r="B40" s="36" t="s">
        <v>36</v>
      </c>
      <c r="C40" s="37"/>
      <c r="D40" s="38">
        <v>1500</v>
      </c>
      <c r="E40" s="38">
        <f t="shared" si="0"/>
        <v>1670</v>
      </c>
      <c r="F40" s="39">
        <f t="shared" si="1"/>
        <v>1</v>
      </c>
      <c r="G40" s="38">
        <f t="shared" si="2"/>
        <v>0</v>
      </c>
      <c r="H40" s="38">
        <f t="shared" si="3"/>
        <v>0</v>
      </c>
      <c r="I40" s="74"/>
    </row>
    <row r="41" spans="1:9" ht="35" hidden="1" customHeight="1" x14ac:dyDescent="0.2">
      <c r="A41" s="25">
        <v>2</v>
      </c>
      <c r="B41" s="36" t="s">
        <v>37</v>
      </c>
      <c r="C41" s="37"/>
      <c r="D41" s="38">
        <v>2500</v>
      </c>
      <c r="E41" s="38">
        <f t="shared" si="0"/>
        <v>2780</v>
      </c>
      <c r="F41" s="39">
        <f t="shared" si="1"/>
        <v>1</v>
      </c>
      <c r="G41" s="38">
        <f t="shared" si="2"/>
        <v>0</v>
      </c>
      <c r="H41" s="38">
        <f t="shared" si="3"/>
        <v>0</v>
      </c>
      <c r="I41" s="74"/>
    </row>
    <row r="42" spans="1:9" ht="17" customHeight="1" x14ac:dyDescent="0.2">
      <c r="A42" s="25">
        <v>5</v>
      </c>
      <c r="B42" s="40" t="s">
        <v>38</v>
      </c>
      <c r="C42" s="37">
        <v>2</v>
      </c>
      <c r="D42" s="38">
        <v>250</v>
      </c>
      <c r="E42" s="38">
        <f t="shared" si="0"/>
        <v>280</v>
      </c>
      <c r="F42" s="39">
        <f t="shared" si="1"/>
        <v>1</v>
      </c>
      <c r="G42" s="38">
        <f t="shared" si="2"/>
        <v>500</v>
      </c>
      <c r="H42" s="38">
        <f t="shared" si="3"/>
        <v>560</v>
      </c>
      <c r="I42" s="74"/>
    </row>
    <row r="43" spans="1:9" ht="17" customHeight="1" x14ac:dyDescent="0.2">
      <c r="A43" s="25">
        <v>6</v>
      </c>
      <c r="B43" s="41" t="s">
        <v>39</v>
      </c>
      <c r="C43" s="37">
        <v>1</v>
      </c>
      <c r="D43" s="38">
        <v>3000</v>
      </c>
      <c r="E43" s="38">
        <f t="shared" si="0"/>
        <v>3340</v>
      </c>
      <c r="F43" s="39">
        <f>($C$11-1)*1/2+1</f>
        <v>1</v>
      </c>
      <c r="G43" s="38">
        <f t="shared" si="2"/>
        <v>3000</v>
      </c>
      <c r="H43" s="38">
        <f t="shared" si="3"/>
        <v>3340</v>
      </c>
      <c r="I43" s="74"/>
    </row>
    <row r="44" spans="1:9" ht="17" customHeight="1" x14ac:dyDescent="0.2">
      <c r="A44" s="25">
        <v>7</v>
      </c>
      <c r="B44" s="41" t="s">
        <v>40</v>
      </c>
      <c r="C44" s="37">
        <v>1</v>
      </c>
      <c r="D44" s="38">
        <v>10000</v>
      </c>
      <c r="E44" s="38">
        <f t="shared" si="0"/>
        <v>11120</v>
      </c>
      <c r="F44" s="39">
        <f>$C$11</f>
        <v>1</v>
      </c>
      <c r="G44" s="38">
        <f t="shared" si="2"/>
        <v>10000</v>
      </c>
      <c r="H44" s="38">
        <f t="shared" si="3"/>
        <v>11120</v>
      </c>
      <c r="I44" s="74"/>
    </row>
    <row r="45" spans="1:9" ht="17" hidden="1" customHeight="1" x14ac:dyDescent="0.2">
      <c r="A45" s="25">
        <v>6</v>
      </c>
      <c r="B45" s="41" t="s">
        <v>41</v>
      </c>
      <c r="C45" s="37"/>
      <c r="D45" s="38">
        <v>10000</v>
      </c>
      <c r="E45" s="38">
        <f t="shared" si="0"/>
        <v>11120</v>
      </c>
      <c r="F45" s="39">
        <f>$C$11</f>
        <v>1</v>
      </c>
      <c r="G45" s="38">
        <f t="shared" si="2"/>
        <v>0</v>
      </c>
      <c r="H45" s="38">
        <f t="shared" si="3"/>
        <v>0</v>
      </c>
      <c r="I45" s="74"/>
    </row>
    <row r="46" spans="1:9" ht="17" customHeight="1" x14ac:dyDescent="0.2">
      <c r="A46" s="25">
        <v>8</v>
      </c>
      <c r="B46" s="36" t="s">
        <v>42</v>
      </c>
      <c r="C46" s="37">
        <v>2</v>
      </c>
      <c r="D46" s="38">
        <v>3000</v>
      </c>
      <c r="E46" s="38">
        <f t="shared" si="0"/>
        <v>3340</v>
      </c>
      <c r="F46" s="39">
        <v>1</v>
      </c>
      <c r="G46" s="38">
        <f t="shared" si="2"/>
        <v>6000</v>
      </c>
      <c r="H46" s="38">
        <f t="shared" si="3"/>
        <v>6680</v>
      </c>
      <c r="I46" s="74"/>
    </row>
    <row r="47" spans="1:9" ht="17" hidden="1" customHeight="1" x14ac:dyDescent="0.2">
      <c r="A47" s="25">
        <v>26</v>
      </c>
      <c r="B47" s="36" t="s">
        <v>43</v>
      </c>
      <c r="C47" s="37"/>
      <c r="D47" s="38">
        <v>1500</v>
      </c>
      <c r="E47" s="38">
        <f t="shared" si="0"/>
        <v>1670</v>
      </c>
      <c r="F47" s="39">
        <v>1</v>
      </c>
      <c r="G47" s="38">
        <f t="shared" si="2"/>
        <v>0</v>
      </c>
      <c r="H47" s="38">
        <f t="shared" si="3"/>
        <v>0</v>
      </c>
      <c r="I47" s="74"/>
    </row>
    <row r="48" spans="1:9" ht="17" customHeight="1" x14ac:dyDescent="0.2">
      <c r="A48" s="25"/>
      <c r="B48" s="85" t="s">
        <v>44</v>
      </c>
      <c r="C48" s="86"/>
      <c r="D48" s="86"/>
      <c r="E48" s="86"/>
      <c r="F48" s="87"/>
      <c r="G48" s="44">
        <f>SUM(G14:G47)</f>
        <v>46500</v>
      </c>
      <c r="H48" s="44">
        <f>SUM(H14:H47)</f>
        <v>51740</v>
      </c>
      <c r="I48" s="75"/>
    </row>
    <row r="49" spans="1:9" ht="19" customHeight="1" x14ac:dyDescent="0.2">
      <c r="A49" s="34" t="s">
        <v>45</v>
      </c>
      <c r="B49" s="66"/>
      <c r="C49" s="66"/>
      <c r="D49" s="66"/>
      <c r="E49" s="66"/>
      <c r="F49" s="66"/>
      <c r="G49" s="68">
        <f>G98</f>
        <v>61000</v>
      </c>
      <c r="H49" s="54"/>
      <c r="I49" s="74"/>
    </row>
    <row r="50" spans="1:9" ht="31" customHeight="1" x14ac:dyDescent="0.2">
      <c r="A50" s="25">
        <v>1</v>
      </c>
      <c r="B50" s="56" t="s">
        <v>46</v>
      </c>
      <c r="C50" s="37">
        <v>4</v>
      </c>
      <c r="D50" s="38">
        <v>2500</v>
      </c>
      <c r="E50" s="38">
        <f t="shared" ref="E50:E97" si="4">_xlfn.CEILING.MATH(D50+($C$10*((D50/0.9)-D50)),10,3)</f>
        <v>2780</v>
      </c>
      <c r="F50" s="39">
        <f t="shared" ref="F50:F113" si="5">($C$11-1)*1/2+1</f>
        <v>1</v>
      </c>
      <c r="G50" s="38">
        <f>F50*D50*C50</f>
        <v>10000</v>
      </c>
      <c r="H50" s="38">
        <f>F50*E50*C50</f>
        <v>11120</v>
      </c>
      <c r="I50" s="74"/>
    </row>
    <row r="51" spans="1:9" ht="31" customHeight="1" x14ac:dyDescent="0.2">
      <c r="A51" s="25">
        <v>2</v>
      </c>
      <c r="B51" s="57" t="s">
        <v>47</v>
      </c>
      <c r="C51" s="37">
        <v>4</v>
      </c>
      <c r="D51" s="38">
        <v>2500</v>
      </c>
      <c r="E51" s="38">
        <f t="shared" si="4"/>
        <v>2780</v>
      </c>
      <c r="F51" s="39">
        <f t="shared" si="5"/>
        <v>1</v>
      </c>
      <c r="G51" s="38">
        <f t="shared" ref="G51:G97" si="6">F51*D51*C51</f>
        <v>10000</v>
      </c>
      <c r="H51" s="38">
        <f t="shared" ref="H51:H97" si="7">F51*E51*C51</f>
        <v>11120</v>
      </c>
      <c r="I51" s="74"/>
    </row>
    <row r="52" spans="1:9" ht="31" hidden="1" customHeight="1" x14ac:dyDescent="0.2">
      <c r="A52" s="25">
        <v>1</v>
      </c>
      <c r="B52" s="57" t="s">
        <v>48</v>
      </c>
      <c r="C52" s="37"/>
      <c r="D52" s="38">
        <v>3500</v>
      </c>
      <c r="E52" s="38">
        <f t="shared" si="4"/>
        <v>3890</v>
      </c>
      <c r="F52" s="39">
        <f t="shared" si="5"/>
        <v>1</v>
      </c>
      <c r="G52" s="38">
        <f t="shared" si="6"/>
        <v>0</v>
      </c>
      <c r="H52" s="38">
        <f t="shared" si="7"/>
        <v>0</v>
      </c>
      <c r="I52" s="74"/>
    </row>
    <row r="53" spans="1:9" ht="16" hidden="1" customHeight="1" x14ac:dyDescent="0.2">
      <c r="A53" s="25">
        <v>3</v>
      </c>
      <c r="B53" s="58" t="s">
        <v>49</v>
      </c>
      <c r="C53" s="37"/>
      <c r="D53" s="38">
        <v>2500</v>
      </c>
      <c r="E53" s="38">
        <f t="shared" si="4"/>
        <v>2780</v>
      </c>
      <c r="F53" s="39">
        <f t="shared" si="5"/>
        <v>1</v>
      </c>
      <c r="G53" s="38">
        <f t="shared" si="6"/>
        <v>0</v>
      </c>
      <c r="H53" s="38">
        <f t="shared" si="7"/>
        <v>0</v>
      </c>
      <c r="I53" s="74"/>
    </row>
    <row r="54" spans="1:9" ht="16" hidden="1" customHeight="1" x14ac:dyDescent="0.2">
      <c r="A54" s="25">
        <v>4</v>
      </c>
      <c r="B54" s="57" t="s">
        <v>50</v>
      </c>
      <c r="C54" s="37"/>
      <c r="D54" s="38">
        <v>1500</v>
      </c>
      <c r="E54" s="38">
        <f t="shared" si="4"/>
        <v>1670</v>
      </c>
      <c r="F54" s="39">
        <f t="shared" si="5"/>
        <v>1</v>
      </c>
      <c r="G54" s="38">
        <f t="shared" si="6"/>
        <v>0</v>
      </c>
      <c r="H54" s="38">
        <f t="shared" si="7"/>
        <v>0</v>
      </c>
      <c r="I54" s="74"/>
    </row>
    <row r="55" spans="1:9" ht="31" hidden="1" customHeight="1" x14ac:dyDescent="0.2">
      <c r="A55" s="25">
        <v>5</v>
      </c>
      <c r="B55" s="57" t="s">
        <v>51</v>
      </c>
      <c r="C55" s="37"/>
      <c r="D55" s="38">
        <v>750</v>
      </c>
      <c r="E55" s="38">
        <f t="shared" si="4"/>
        <v>840</v>
      </c>
      <c r="F55" s="39">
        <f t="shared" si="5"/>
        <v>1</v>
      </c>
      <c r="G55" s="38">
        <f t="shared" si="6"/>
        <v>0</v>
      </c>
      <c r="H55" s="38">
        <f t="shared" si="7"/>
        <v>0</v>
      </c>
      <c r="I55" s="74"/>
    </row>
    <row r="56" spans="1:9" ht="31" hidden="1" customHeight="1" x14ac:dyDescent="0.2">
      <c r="A56" s="25">
        <v>6</v>
      </c>
      <c r="B56" s="57" t="s">
        <v>52</v>
      </c>
      <c r="C56" s="37"/>
      <c r="D56" s="38">
        <v>750</v>
      </c>
      <c r="E56" s="38">
        <f t="shared" si="4"/>
        <v>840</v>
      </c>
      <c r="F56" s="39">
        <f t="shared" si="5"/>
        <v>1</v>
      </c>
      <c r="G56" s="38">
        <f t="shared" si="6"/>
        <v>0</v>
      </c>
      <c r="H56" s="38">
        <f t="shared" si="7"/>
        <v>0</v>
      </c>
      <c r="I56" s="74"/>
    </row>
    <row r="57" spans="1:9" ht="31" hidden="1" customHeight="1" x14ac:dyDescent="0.2">
      <c r="A57" s="25">
        <v>7</v>
      </c>
      <c r="B57" s="57" t="s">
        <v>53</v>
      </c>
      <c r="C57" s="37"/>
      <c r="D57" s="38">
        <v>1000</v>
      </c>
      <c r="E57" s="38">
        <f>_xlfn.CEILING.MATH(D57+($C$10*((D57/0.9)-D57)),10,3)</f>
        <v>1120</v>
      </c>
      <c r="F57" s="39">
        <f t="shared" si="5"/>
        <v>1</v>
      </c>
      <c r="G57" s="38">
        <f t="shared" si="6"/>
        <v>0</v>
      </c>
      <c r="H57" s="38">
        <f t="shared" si="7"/>
        <v>0</v>
      </c>
      <c r="I57" s="74"/>
    </row>
    <row r="58" spans="1:9" ht="31" hidden="1" customHeight="1" x14ac:dyDescent="0.2">
      <c r="A58" s="25">
        <v>9</v>
      </c>
      <c r="B58" s="57" t="s">
        <v>54</v>
      </c>
      <c r="C58" s="37"/>
      <c r="D58" s="38">
        <v>750</v>
      </c>
      <c r="E58" s="38">
        <f t="shared" si="4"/>
        <v>840</v>
      </c>
      <c r="F58" s="39">
        <f t="shared" si="5"/>
        <v>1</v>
      </c>
      <c r="G58" s="38">
        <f t="shared" si="6"/>
        <v>0</v>
      </c>
      <c r="H58" s="38">
        <f t="shared" si="7"/>
        <v>0</v>
      </c>
      <c r="I58" s="74"/>
    </row>
    <row r="59" spans="1:9" ht="15" hidden="1" customHeight="1" x14ac:dyDescent="0.2">
      <c r="A59" s="25">
        <v>10</v>
      </c>
      <c r="B59" s="57" t="s">
        <v>55</v>
      </c>
      <c r="C59" s="37"/>
      <c r="D59" s="38">
        <v>500</v>
      </c>
      <c r="E59" s="38">
        <f t="shared" si="4"/>
        <v>560</v>
      </c>
      <c r="F59" s="39">
        <f t="shared" si="5"/>
        <v>1</v>
      </c>
      <c r="G59" s="38">
        <f t="shared" si="6"/>
        <v>0</v>
      </c>
      <c r="H59" s="38">
        <f t="shared" si="7"/>
        <v>0</v>
      </c>
      <c r="I59" s="74"/>
    </row>
    <row r="60" spans="1:9" ht="31" customHeight="1" x14ac:dyDescent="0.2">
      <c r="A60" s="25">
        <v>3</v>
      </c>
      <c r="B60" s="59" t="s">
        <v>56</v>
      </c>
      <c r="C60" s="37">
        <v>8</v>
      </c>
      <c r="D60" s="38">
        <v>750</v>
      </c>
      <c r="E60" s="38">
        <f t="shared" si="4"/>
        <v>840</v>
      </c>
      <c r="F60" s="39">
        <f t="shared" si="5"/>
        <v>1</v>
      </c>
      <c r="G60" s="38">
        <f t="shared" si="6"/>
        <v>6000</v>
      </c>
      <c r="H60" s="38">
        <f t="shared" si="7"/>
        <v>6720</v>
      </c>
      <c r="I60" s="74"/>
    </row>
    <row r="61" spans="1:9" ht="31" hidden="1" customHeight="1" x14ac:dyDescent="0.2">
      <c r="A61" s="25">
        <v>12</v>
      </c>
      <c r="B61" s="59" t="s">
        <v>57</v>
      </c>
      <c r="C61" s="37"/>
      <c r="D61" s="38">
        <v>1250</v>
      </c>
      <c r="E61" s="38">
        <f t="shared" si="4"/>
        <v>1390</v>
      </c>
      <c r="F61" s="39">
        <f t="shared" si="5"/>
        <v>1</v>
      </c>
      <c r="G61" s="38">
        <f t="shared" si="6"/>
        <v>0</v>
      </c>
      <c r="H61" s="38">
        <f t="shared" si="7"/>
        <v>0</v>
      </c>
      <c r="I61" s="74"/>
    </row>
    <row r="62" spans="1:9" ht="31" customHeight="1" x14ac:dyDescent="0.2">
      <c r="A62" s="25">
        <v>4</v>
      </c>
      <c r="B62" s="59" t="s">
        <v>58</v>
      </c>
      <c r="C62" s="37">
        <v>4</v>
      </c>
      <c r="D62" s="38">
        <v>1500</v>
      </c>
      <c r="E62" s="38">
        <f t="shared" si="4"/>
        <v>1670</v>
      </c>
      <c r="F62" s="39">
        <f t="shared" si="5"/>
        <v>1</v>
      </c>
      <c r="G62" s="38">
        <f t="shared" si="6"/>
        <v>6000</v>
      </c>
      <c r="H62" s="38">
        <f t="shared" si="7"/>
        <v>6680</v>
      </c>
      <c r="I62" s="74"/>
    </row>
    <row r="63" spans="1:9" ht="31" hidden="1" customHeight="1" x14ac:dyDescent="0.2">
      <c r="A63" s="25">
        <v>14</v>
      </c>
      <c r="B63" s="59" t="s">
        <v>59</v>
      </c>
      <c r="C63" s="37"/>
      <c r="D63" s="38">
        <v>3000</v>
      </c>
      <c r="E63" s="38">
        <f t="shared" si="4"/>
        <v>3340</v>
      </c>
      <c r="F63" s="39">
        <f t="shared" si="5"/>
        <v>1</v>
      </c>
      <c r="G63" s="38">
        <f t="shared" si="6"/>
        <v>0</v>
      </c>
      <c r="H63" s="38">
        <f t="shared" si="7"/>
        <v>0</v>
      </c>
      <c r="I63" s="74"/>
    </row>
    <row r="64" spans="1:9" ht="16" hidden="1" customHeight="1" x14ac:dyDescent="0.2">
      <c r="A64" s="25">
        <v>15</v>
      </c>
      <c r="B64" s="59" t="s">
        <v>60</v>
      </c>
      <c r="C64" s="37"/>
      <c r="D64" s="38">
        <v>3000</v>
      </c>
      <c r="E64" s="38">
        <f t="shared" si="4"/>
        <v>3340</v>
      </c>
      <c r="F64" s="39">
        <f t="shared" si="5"/>
        <v>1</v>
      </c>
      <c r="G64" s="38">
        <f t="shared" si="6"/>
        <v>0</v>
      </c>
      <c r="H64" s="38">
        <f t="shared" si="7"/>
        <v>0</v>
      </c>
      <c r="I64" s="74"/>
    </row>
    <row r="65" spans="1:9" ht="16" hidden="1" customHeight="1" x14ac:dyDescent="0.2">
      <c r="A65" s="25">
        <v>16</v>
      </c>
      <c r="B65" s="59" t="s">
        <v>61</v>
      </c>
      <c r="C65" s="37"/>
      <c r="D65" s="38">
        <v>3000</v>
      </c>
      <c r="E65" s="38">
        <f t="shared" si="4"/>
        <v>3340</v>
      </c>
      <c r="F65" s="39">
        <f t="shared" si="5"/>
        <v>1</v>
      </c>
      <c r="G65" s="38">
        <f t="shared" si="6"/>
        <v>0</v>
      </c>
      <c r="H65" s="38">
        <f t="shared" si="7"/>
        <v>0</v>
      </c>
      <c r="I65" s="74"/>
    </row>
    <row r="66" spans="1:9" ht="16" hidden="1" customHeight="1" x14ac:dyDescent="0.2">
      <c r="A66" s="25">
        <v>17</v>
      </c>
      <c r="B66" s="59" t="s">
        <v>62</v>
      </c>
      <c r="C66" s="37"/>
      <c r="D66" s="38">
        <v>1500</v>
      </c>
      <c r="E66" s="38">
        <f t="shared" si="4"/>
        <v>1670</v>
      </c>
      <c r="F66" s="39">
        <f t="shared" si="5"/>
        <v>1</v>
      </c>
      <c r="G66" s="38">
        <f t="shared" si="6"/>
        <v>0</v>
      </c>
      <c r="H66" s="38">
        <f t="shared" si="7"/>
        <v>0</v>
      </c>
      <c r="I66" s="74"/>
    </row>
    <row r="67" spans="1:9" ht="16" hidden="1" customHeight="1" x14ac:dyDescent="0.2">
      <c r="A67" s="25">
        <v>12</v>
      </c>
      <c r="B67" s="59" t="s">
        <v>63</v>
      </c>
      <c r="C67" s="37"/>
      <c r="D67" s="38">
        <v>1500</v>
      </c>
      <c r="E67" s="38">
        <f t="shared" si="4"/>
        <v>1670</v>
      </c>
      <c r="F67" s="39">
        <f t="shared" si="5"/>
        <v>1</v>
      </c>
      <c r="G67" s="38">
        <f t="shared" si="6"/>
        <v>0</v>
      </c>
      <c r="H67" s="38">
        <f t="shared" si="7"/>
        <v>0</v>
      </c>
      <c r="I67" s="74"/>
    </row>
    <row r="68" spans="1:9" ht="16" hidden="1" customHeight="1" x14ac:dyDescent="0.2">
      <c r="A68" s="25">
        <v>19</v>
      </c>
      <c r="B68" s="59" t="s">
        <v>64</v>
      </c>
      <c r="C68" s="37"/>
      <c r="D68" s="38">
        <v>1500</v>
      </c>
      <c r="E68" s="38">
        <f t="shared" si="4"/>
        <v>1670</v>
      </c>
      <c r="F68" s="39">
        <f t="shared" si="5"/>
        <v>1</v>
      </c>
      <c r="G68" s="38">
        <f t="shared" si="6"/>
        <v>0</v>
      </c>
      <c r="H68" s="38">
        <f t="shared" si="7"/>
        <v>0</v>
      </c>
      <c r="I68" s="74"/>
    </row>
    <row r="69" spans="1:9" ht="16" hidden="1" customHeight="1" x14ac:dyDescent="0.2">
      <c r="A69" s="25">
        <v>13</v>
      </c>
      <c r="B69" s="59" t="s">
        <v>65</v>
      </c>
      <c r="C69" s="37"/>
      <c r="D69" s="38">
        <v>1500</v>
      </c>
      <c r="E69" s="38">
        <f t="shared" si="4"/>
        <v>1670</v>
      </c>
      <c r="F69" s="39">
        <f t="shared" si="5"/>
        <v>1</v>
      </c>
      <c r="G69" s="38">
        <f>F69*D69*C69</f>
        <v>0</v>
      </c>
      <c r="H69" s="38">
        <f t="shared" si="7"/>
        <v>0</v>
      </c>
      <c r="I69" s="74"/>
    </row>
    <row r="70" spans="1:9" ht="16" customHeight="1" x14ac:dyDescent="0.2">
      <c r="A70" s="25">
        <v>5</v>
      </c>
      <c r="B70" s="59" t="s">
        <v>66</v>
      </c>
      <c r="C70" s="37">
        <v>1</v>
      </c>
      <c r="D70" s="38">
        <v>2000</v>
      </c>
      <c r="E70" s="38">
        <f t="shared" si="4"/>
        <v>2230</v>
      </c>
      <c r="F70" s="39">
        <f t="shared" si="5"/>
        <v>1</v>
      </c>
      <c r="G70" s="38">
        <f t="shared" si="6"/>
        <v>2000</v>
      </c>
      <c r="H70" s="38">
        <f t="shared" si="7"/>
        <v>2230</v>
      </c>
      <c r="I70" s="74"/>
    </row>
    <row r="71" spans="1:9" ht="16" hidden="1" customHeight="1" x14ac:dyDescent="0.2">
      <c r="A71" s="25">
        <v>22</v>
      </c>
      <c r="B71" s="59" t="s">
        <v>67</v>
      </c>
      <c r="C71" s="37"/>
      <c r="D71" s="38">
        <v>8000</v>
      </c>
      <c r="E71" s="38">
        <f t="shared" si="4"/>
        <v>8890</v>
      </c>
      <c r="F71" s="39">
        <f t="shared" si="5"/>
        <v>1</v>
      </c>
      <c r="G71" s="38">
        <f t="shared" si="6"/>
        <v>0</v>
      </c>
      <c r="H71" s="38">
        <f t="shared" si="7"/>
        <v>0</v>
      </c>
      <c r="I71" s="74"/>
    </row>
    <row r="72" spans="1:9" ht="31" hidden="1" customHeight="1" x14ac:dyDescent="0.2">
      <c r="A72" s="25">
        <v>23</v>
      </c>
      <c r="B72" s="59" t="s">
        <v>68</v>
      </c>
      <c r="C72" s="37"/>
      <c r="D72" s="38">
        <v>2000</v>
      </c>
      <c r="E72" s="38">
        <f t="shared" si="4"/>
        <v>2230</v>
      </c>
      <c r="F72" s="39">
        <f t="shared" si="5"/>
        <v>1</v>
      </c>
      <c r="G72" s="38">
        <f t="shared" si="6"/>
        <v>0</v>
      </c>
      <c r="H72" s="38">
        <f t="shared" si="7"/>
        <v>0</v>
      </c>
      <c r="I72" s="74"/>
    </row>
    <row r="73" spans="1:9" ht="16" hidden="1" customHeight="1" x14ac:dyDescent="0.2">
      <c r="A73" s="25">
        <v>24</v>
      </c>
      <c r="B73" s="59" t="s">
        <v>69</v>
      </c>
      <c r="C73" s="37"/>
      <c r="D73" s="38">
        <v>2000</v>
      </c>
      <c r="E73" s="38">
        <f t="shared" si="4"/>
        <v>2230</v>
      </c>
      <c r="F73" s="39">
        <f t="shared" si="5"/>
        <v>1</v>
      </c>
      <c r="G73" s="38">
        <f t="shared" si="6"/>
        <v>0</v>
      </c>
      <c r="H73" s="38">
        <f t="shared" si="7"/>
        <v>0</v>
      </c>
      <c r="I73" s="74"/>
    </row>
    <row r="74" spans="1:9" ht="16" hidden="1" customHeight="1" x14ac:dyDescent="0.2">
      <c r="A74" s="25">
        <v>25</v>
      </c>
      <c r="B74" s="59" t="s">
        <v>70</v>
      </c>
      <c r="C74" s="37"/>
      <c r="D74" s="38">
        <v>1500</v>
      </c>
      <c r="E74" s="38">
        <f t="shared" si="4"/>
        <v>1670</v>
      </c>
      <c r="F74" s="39">
        <f t="shared" si="5"/>
        <v>1</v>
      </c>
      <c r="G74" s="38">
        <f t="shared" si="6"/>
        <v>0</v>
      </c>
      <c r="H74" s="38">
        <f t="shared" si="7"/>
        <v>0</v>
      </c>
      <c r="I74" s="74"/>
    </row>
    <row r="75" spans="1:9" ht="31" hidden="1" customHeight="1" x14ac:dyDescent="0.2">
      <c r="A75" s="25">
        <v>26</v>
      </c>
      <c r="B75" s="59" t="s">
        <v>71</v>
      </c>
      <c r="C75" s="37"/>
      <c r="D75" s="38">
        <v>2000</v>
      </c>
      <c r="E75" s="38">
        <f t="shared" si="4"/>
        <v>2230</v>
      </c>
      <c r="F75" s="39">
        <f t="shared" si="5"/>
        <v>1</v>
      </c>
      <c r="G75" s="38">
        <f t="shared" si="6"/>
        <v>0</v>
      </c>
      <c r="H75" s="38">
        <f t="shared" si="7"/>
        <v>0</v>
      </c>
      <c r="I75" s="74"/>
    </row>
    <row r="76" spans="1:9" ht="19" hidden="1" customHeight="1" x14ac:dyDescent="0.2">
      <c r="A76" s="25">
        <v>27</v>
      </c>
      <c r="B76" s="59" t="s">
        <v>72</v>
      </c>
      <c r="C76" s="37"/>
      <c r="D76" s="38">
        <v>3000</v>
      </c>
      <c r="E76" s="38">
        <f t="shared" si="4"/>
        <v>3340</v>
      </c>
      <c r="F76" s="39">
        <f t="shared" si="5"/>
        <v>1</v>
      </c>
      <c r="G76" s="38">
        <f t="shared" si="6"/>
        <v>0</v>
      </c>
      <c r="H76" s="38">
        <f t="shared" si="7"/>
        <v>0</v>
      </c>
      <c r="I76" s="74"/>
    </row>
    <row r="77" spans="1:9" ht="19" hidden="1" customHeight="1" x14ac:dyDescent="0.2">
      <c r="A77" s="25">
        <v>28</v>
      </c>
      <c r="B77" s="59" t="s">
        <v>73</v>
      </c>
      <c r="C77" s="37"/>
      <c r="D77" s="38">
        <v>5000</v>
      </c>
      <c r="E77" s="38">
        <f t="shared" si="4"/>
        <v>5560</v>
      </c>
      <c r="F77" s="39">
        <f t="shared" si="5"/>
        <v>1</v>
      </c>
      <c r="G77" s="38">
        <f t="shared" si="6"/>
        <v>0</v>
      </c>
      <c r="H77" s="38">
        <f t="shared" si="7"/>
        <v>0</v>
      </c>
      <c r="I77" s="74"/>
    </row>
    <row r="78" spans="1:9" ht="19" hidden="1" customHeight="1" x14ac:dyDescent="0.2">
      <c r="A78" s="25">
        <v>29</v>
      </c>
      <c r="B78" s="59" t="s">
        <v>74</v>
      </c>
      <c r="C78" s="37"/>
      <c r="D78" s="38">
        <v>3500</v>
      </c>
      <c r="E78" s="38">
        <f t="shared" si="4"/>
        <v>3890</v>
      </c>
      <c r="F78" s="39">
        <f t="shared" si="5"/>
        <v>1</v>
      </c>
      <c r="G78" s="38">
        <f t="shared" si="6"/>
        <v>0</v>
      </c>
      <c r="H78" s="38">
        <f t="shared" si="7"/>
        <v>0</v>
      </c>
      <c r="I78" s="74"/>
    </row>
    <row r="79" spans="1:9" ht="31" hidden="1" customHeight="1" x14ac:dyDescent="0.2">
      <c r="A79" s="25">
        <v>30</v>
      </c>
      <c r="B79" s="59" t="s">
        <v>75</v>
      </c>
      <c r="C79" s="37"/>
      <c r="D79" s="38">
        <v>12500</v>
      </c>
      <c r="E79" s="38">
        <f t="shared" si="4"/>
        <v>13890</v>
      </c>
      <c r="F79" s="39">
        <f t="shared" si="5"/>
        <v>1</v>
      </c>
      <c r="G79" s="38">
        <f t="shared" si="6"/>
        <v>0</v>
      </c>
      <c r="H79" s="38">
        <f t="shared" si="7"/>
        <v>0</v>
      </c>
      <c r="I79" s="74"/>
    </row>
    <row r="80" spans="1:9" ht="31" hidden="1" customHeight="1" x14ac:dyDescent="0.2">
      <c r="A80" s="25">
        <v>31</v>
      </c>
      <c r="B80" s="59" t="s">
        <v>76</v>
      </c>
      <c r="C80" s="37"/>
      <c r="D80" s="38">
        <v>2000</v>
      </c>
      <c r="E80" s="38">
        <f t="shared" si="4"/>
        <v>2230</v>
      </c>
      <c r="F80" s="39">
        <f t="shared" si="5"/>
        <v>1</v>
      </c>
      <c r="G80" s="38">
        <f t="shared" si="6"/>
        <v>0</v>
      </c>
      <c r="H80" s="38">
        <f t="shared" si="7"/>
        <v>0</v>
      </c>
      <c r="I80" s="74"/>
    </row>
    <row r="81" spans="1:9" ht="31" hidden="1" customHeight="1" x14ac:dyDescent="0.2">
      <c r="A81" s="25">
        <v>32</v>
      </c>
      <c r="B81" s="59" t="s">
        <v>77</v>
      </c>
      <c r="C81" s="37"/>
      <c r="D81" s="38">
        <v>2000</v>
      </c>
      <c r="E81" s="38">
        <f t="shared" si="4"/>
        <v>2230</v>
      </c>
      <c r="F81" s="39">
        <f t="shared" si="5"/>
        <v>1</v>
      </c>
      <c r="G81" s="38">
        <f t="shared" si="6"/>
        <v>0</v>
      </c>
      <c r="H81" s="38">
        <f t="shared" si="7"/>
        <v>0</v>
      </c>
      <c r="I81" s="74"/>
    </row>
    <row r="82" spans="1:9" ht="15" hidden="1" customHeight="1" x14ac:dyDescent="0.2">
      <c r="A82" s="25">
        <v>15</v>
      </c>
      <c r="B82" s="59" t="s">
        <v>78</v>
      </c>
      <c r="C82" s="37"/>
      <c r="D82" s="38">
        <v>4000</v>
      </c>
      <c r="E82" s="38">
        <f t="shared" si="4"/>
        <v>4450</v>
      </c>
      <c r="F82" s="39">
        <f t="shared" si="5"/>
        <v>1</v>
      </c>
      <c r="G82" s="38">
        <f t="shared" si="6"/>
        <v>0</v>
      </c>
      <c r="H82" s="38">
        <f t="shared" si="7"/>
        <v>0</v>
      </c>
      <c r="I82" s="74"/>
    </row>
    <row r="83" spans="1:9" ht="31" hidden="1" customHeight="1" x14ac:dyDescent="0.2">
      <c r="A83" s="25">
        <v>34</v>
      </c>
      <c r="B83" s="59" t="s">
        <v>79</v>
      </c>
      <c r="C83" s="37"/>
      <c r="D83" s="38">
        <v>3500</v>
      </c>
      <c r="E83" s="38">
        <f t="shared" si="4"/>
        <v>3890</v>
      </c>
      <c r="F83" s="39">
        <f t="shared" si="5"/>
        <v>1</v>
      </c>
      <c r="G83" s="38">
        <f t="shared" si="6"/>
        <v>0</v>
      </c>
      <c r="H83" s="38">
        <f t="shared" si="7"/>
        <v>0</v>
      </c>
      <c r="I83" s="74"/>
    </row>
    <row r="84" spans="1:9" ht="31" hidden="1" customHeight="1" x14ac:dyDescent="0.2">
      <c r="A84" s="25">
        <v>35</v>
      </c>
      <c r="B84" s="59" t="s">
        <v>80</v>
      </c>
      <c r="C84" s="37"/>
      <c r="D84" s="38">
        <v>2000</v>
      </c>
      <c r="E84" s="38">
        <f t="shared" si="4"/>
        <v>2230</v>
      </c>
      <c r="F84" s="39">
        <f t="shared" si="5"/>
        <v>1</v>
      </c>
      <c r="G84" s="38">
        <f t="shared" si="6"/>
        <v>0</v>
      </c>
      <c r="H84" s="38">
        <f t="shared" si="7"/>
        <v>0</v>
      </c>
      <c r="I84" s="74"/>
    </row>
    <row r="85" spans="1:9" ht="17" hidden="1" customHeight="1" x14ac:dyDescent="0.2">
      <c r="A85" s="25">
        <v>4</v>
      </c>
      <c r="B85" s="59" t="s">
        <v>81</v>
      </c>
      <c r="C85" s="37"/>
      <c r="D85" s="38">
        <v>500</v>
      </c>
      <c r="E85" s="38">
        <f t="shared" si="4"/>
        <v>560</v>
      </c>
      <c r="F85" s="39">
        <f t="shared" si="5"/>
        <v>1</v>
      </c>
      <c r="G85" s="38">
        <f t="shared" si="6"/>
        <v>0</v>
      </c>
      <c r="H85" s="38">
        <f t="shared" si="7"/>
        <v>0</v>
      </c>
      <c r="I85" s="74"/>
    </row>
    <row r="86" spans="1:9" ht="17" hidden="1" customHeight="1" x14ac:dyDescent="0.2">
      <c r="A86" s="25">
        <v>37</v>
      </c>
      <c r="B86" s="57" t="s">
        <v>82</v>
      </c>
      <c r="C86" s="37"/>
      <c r="D86" s="38">
        <v>250</v>
      </c>
      <c r="E86" s="38">
        <f t="shared" si="4"/>
        <v>280</v>
      </c>
      <c r="F86" s="39">
        <f t="shared" si="5"/>
        <v>1</v>
      </c>
      <c r="G86" s="38">
        <f t="shared" si="6"/>
        <v>0</v>
      </c>
      <c r="H86" s="38">
        <f t="shared" si="7"/>
        <v>0</v>
      </c>
      <c r="I86" s="74"/>
    </row>
    <row r="87" spans="1:9" ht="17" hidden="1" customHeight="1" x14ac:dyDescent="0.2">
      <c r="A87" s="25">
        <v>16</v>
      </c>
      <c r="B87" s="57" t="s">
        <v>83</v>
      </c>
      <c r="C87" s="37"/>
      <c r="D87" s="38">
        <v>500</v>
      </c>
      <c r="E87" s="38">
        <f t="shared" si="4"/>
        <v>560</v>
      </c>
      <c r="F87" s="39">
        <f t="shared" si="5"/>
        <v>1</v>
      </c>
      <c r="G87" s="38">
        <f t="shared" si="6"/>
        <v>0</v>
      </c>
      <c r="H87" s="38">
        <f t="shared" si="7"/>
        <v>0</v>
      </c>
      <c r="I87" s="74"/>
    </row>
    <row r="88" spans="1:9" ht="17" hidden="1" customHeight="1" x14ac:dyDescent="0.2">
      <c r="A88" s="25">
        <v>39</v>
      </c>
      <c r="B88" s="59" t="s">
        <v>84</v>
      </c>
      <c r="C88" s="37"/>
      <c r="D88" s="38">
        <v>1000</v>
      </c>
      <c r="E88" s="38">
        <f t="shared" si="4"/>
        <v>1120</v>
      </c>
      <c r="F88" s="39">
        <f t="shared" si="5"/>
        <v>1</v>
      </c>
      <c r="G88" s="38">
        <f t="shared" si="6"/>
        <v>0</v>
      </c>
      <c r="H88" s="38">
        <f t="shared" si="7"/>
        <v>0</v>
      </c>
      <c r="I88" s="74"/>
    </row>
    <row r="89" spans="1:9" ht="17" customHeight="1" x14ac:dyDescent="0.2">
      <c r="A89" s="25">
        <v>6</v>
      </c>
      <c r="B89" s="59" t="s">
        <v>85</v>
      </c>
      <c r="C89" s="37">
        <v>4</v>
      </c>
      <c r="D89" s="38">
        <v>1500</v>
      </c>
      <c r="E89" s="38">
        <f t="shared" si="4"/>
        <v>1670</v>
      </c>
      <c r="F89" s="39">
        <f t="shared" si="5"/>
        <v>1</v>
      </c>
      <c r="G89" s="38">
        <f t="shared" si="6"/>
        <v>6000</v>
      </c>
      <c r="H89" s="38">
        <f t="shared" si="7"/>
        <v>6680</v>
      </c>
      <c r="I89" s="74"/>
    </row>
    <row r="90" spans="1:9" ht="17" hidden="1" customHeight="1" x14ac:dyDescent="0.2">
      <c r="A90" s="25">
        <v>41</v>
      </c>
      <c r="B90" s="59" t="s">
        <v>86</v>
      </c>
      <c r="C90" s="37"/>
      <c r="D90" s="38">
        <v>2000</v>
      </c>
      <c r="E90" s="38">
        <f t="shared" si="4"/>
        <v>2230</v>
      </c>
      <c r="F90" s="39">
        <f t="shared" si="5"/>
        <v>1</v>
      </c>
      <c r="G90" s="38">
        <f t="shared" si="6"/>
        <v>0</v>
      </c>
      <c r="H90" s="38">
        <f t="shared" si="7"/>
        <v>0</v>
      </c>
      <c r="I90" s="74"/>
    </row>
    <row r="91" spans="1:9" ht="31" hidden="1" customHeight="1" x14ac:dyDescent="0.2">
      <c r="A91" s="25">
        <v>6</v>
      </c>
      <c r="B91" s="59" t="s">
        <v>87</v>
      </c>
      <c r="C91" s="37"/>
      <c r="D91" s="38">
        <v>1000</v>
      </c>
      <c r="E91" s="38">
        <f t="shared" si="4"/>
        <v>1120</v>
      </c>
      <c r="F91" s="39">
        <f t="shared" si="5"/>
        <v>1</v>
      </c>
      <c r="G91" s="38">
        <f t="shared" si="6"/>
        <v>0</v>
      </c>
      <c r="H91" s="38">
        <f t="shared" si="7"/>
        <v>0</v>
      </c>
      <c r="I91" s="74"/>
    </row>
    <row r="92" spans="1:9" ht="31" hidden="1" customHeight="1" x14ac:dyDescent="0.2">
      <c r="A92" s="25">
        <v>43</v>
      </c>
      <c r="B92" s="59" t="s">
        <v>88</v>
      </c>
      <c r="C92" s="37"/>
      <c r="D92" s="38">
        <v>1000</v>
      </c>
      <c r="E92" s="38">
        <f t="shared" si="4"/>
        <v>1120</v>
      </c>
      <c r="F92" s="39">
        <f t="shared" si="5"/>
        <v>1</v>
      </c>
      <c r="G92" s="38">
        <f t="shared" si="6"/>
        <v>0</v>
      </c>
      <c r="H92" s="38">
        <f t="shared" si="7"/>
        <v>0</v>
      </c>
      <c r="I92" s="74"/>
    </row>
    <row r="93" spans="1:9" ht="16" hidden="1" customHeight="1" x14ac:dyDescent="0.2">
      <c r="A93" s="25">
        <v>3</v>
      </c>
      <c r="B93" s="59" t="s">
        <v>89</v>
      </c>
      <c r="C93" s="37"/>
      <c r="D93" s="38">
        <v>3000</v>
      </c>
      <c r="E93" s="38">
        <f t="shared" si="4"/>
        <v>3340</v>
      </c>
      <c r="F93" s="39">
        <f t="shared" si="5"/>
        <v>1</v>
      </c>
      <c r="G93" s="38">
        <f t="shared" si="6"/>
        <v>0</v>
      </c>
      <c r="H93" s="38">
        <f t="shared" si="7"/>
        <v>0</v>
      </c>
      <c r="I93" s="74"/>
    </row>
    <row r="94" spans="1:9" ht="16" customHeight="1" x14ac:dyDescent="0.2">
      <c r="A94" s="25">
        <v>7</v>
      </c>
      <c r="B94" s="59" t="s">
        <v>90</v>
      </c>
      <c r="C94" s="37">
        <v>1</v>
      </c>
      <c r="D94" s="38">
        <v>5000</v>
      </c>
      <c r="E94" s="38">
        <f t="shared" si="4"/>
        <v>5560</v>
      </c>
      <c r="F94" s="39">
        <f t="shared" si="5"/>
        <v>1</v>
      </c>
      <c r="G94" s="38">
        <f>F94*D94*C94</f>
        <v>5000</v>
      </c>
      <c r="H94" s="38">
        <f t="shared" si="7"/>
        <v>5560</v>
      </c>
      <c r="I94" s="74"/>
    </row>
    <row r="95" spans="1:9" ht="16" customHeight="1" x14ac:dyDescent="0.2">
      <c r="A95" s="25">
        <v>8</v>
      </c>
      <c r="B95" s="60" t="s">
        <v>91</v>
      </c>
      <c r="C95" s="37">
        <v>1</v>
      </c>
      <c r="D95" s="38">
        <v>10000</v>
      </c>
      <c r="E95" s="38">
        <f t="shared" si="4"/>
        <v>11120</v>
      </c>
      <c r="F95" s="39">
        <f>$C$11</f>
        <v>1</v>
      </c>
      <c r="G95" s="38">
        <f t="shared" si="6"/>
        <v>10000</v>
      </c>
      <c r="H95" s="38">
        <f t="shared" si="7"/>
        <v>11120</v>
      </c>
      <c r="I95" s="74"/>
    </row>
    <row r="96" spans="1:9" ht="16" customHeight="1" x14ac:dyDescent="0.2">
      <c r="A96" s="25">
        <v>9</v>
      </c>
      <c r="B96" s="61" t="s">
        <v>42</v>
      </c>
      <c r="C96" s="37">
        <v>2</v>
      </c>
      <c r="D96" s="38">
        <v>3000</v>
      </c>
      <c r="E96" s="38">
        <f t="shared" si="4"/>
        <v>3340</v>
      </c>
      <c r="F96" s="39">
        <v>1</v>
      </c>
      <c r="G96" s="38">
        <f t="shared" si="6"/>
        <v>6000</v>
      </c>
      <c r="H96" s="38">
        <f t="shared" si="7"/>
        <v>6680</v>
      </c>
      <c r="I96" s="74"/>
    </row>
    <row r="97" spans="1:9" ht="16" hidden="1" customHeight="1" x14ac:dyDescent="0.2">
      <c r="A97" s="25">
        <v>48</v>
      </c>
      <c r="B97" s="61" t="s">
        <v>43</v>
      </c>
      <c r="C97" s="37"/>
      <c r="D97" s="38">
        <v>3000</v>
      </c>
      <c r="E97" s="38">
        <f t="shared" si="4"/>
        <v>3340</v>
      </c>
      <c r="F97" s="39">
        <v>1</v>
      </c>
      <c r="G97" s="38">
        <f t="shared" si="6"/>
        <v>0</v>
      </c>
      <c r="H97" s="38">
        <f t="shared" si="7"/>
        <v>0</v>
      </c>
      <c r="I97" s="74"/>
    </row>
    <row r="98" spans="1:9" ht="16" customHeight="1" x14ac:dyDescent="0.2">
      <c r="A98" s="73"/>
      <c r="B98" s="84" t="s">
        <v>92</v>
      </c>
      <c r="C98" s="84"/>
      <c r="D98" s="84"/>
      <c r="E98" s="84"/>
      <c r="F98" s="84"/>
      <c r="G98" s="45">
        <f>SUM(G50:G97)</f>
        <v>61000</v>
      </c>
      <c r="H98" s="45">
        <f>SUM(H50:H97)</f>
        <v>67910</v>
      </c>
      <c r="I98" s="74"/>
    </row>
    <row r="99" spans="1:9" ht="19" hidden="1" customHeight="1" x14ac:dyDescent="0.2">
      <c r="A99" s="34" t="s">
        <v>93</v>
      </c>
      <c r="B99" s="66"/>
      <c r="C99" s="66"/>
      <c r="D99" s="66"/>
      <c r="E99" s="66"/>
      <c r="F99" s="66"/>
      <c r="G99" s="69">
        <f>G108</f>
        <v>0</v>
      </c>
      <c r="H99" s="54"/>
      <c r="I99" s="75"/>
    </row>
    <row r="100" spans="1:9" ht="17" hidden="1" customHeight="1" x14ac:dyDescent="0.2">
      <c r="A100" s="27">
        <v>1</v>
      </c>
      <c r="B100" s="46" t="s">
        <v>194</v>
      </c>
      <c r="C100" s="47"/>
      <c r="D100" s="48">
        <v>70000</v>
      </c>
      <c r="E100" s="48">
        <f t="shared" ref="E100:E107" si="8">_xlfn.CEILING.MATH(D100+($C$10*((D100/0.9)-D100)),10,3)</f>
        <v>77780</v>
      </c>
      <c r="F100" s="43">
        <f t="shared" si="5"/>
        <v>1</v>
      </c>
      <c r="G100" s="48">
        <f>F100*D100*C100</f>
        <v>0</v>
      </c>
      <c r="H100" s="48">
        <f t="shared" ref="H100:H107" si="9">F100*E100*C100</f>
        <v>0</v>
      </c>
      <c r="I100" s="75"/>
    </row>
    <row r="101" spans="1:9" ht="17" hidden="1" customHeight="1" x14ac:dyDescent="0.2">
      <c r="A101" s="27">
        <v>1</v>
      </c>
      <c r="B101" s="46" t="s">
        <v>94</v>
      </c>
      <c r="C101" s="47"/>
      <c r="D101" s="48">
        <v>6000</v>
      </c>
      <c r="E101" s="48">
        <f t="shared" si="8"/>
        <v>6670</v>
      </c>
      <c r="F101" s="43">
        <f t="shared" si="5"/>
        <v>1</v>
      </c>
      <c r="G101" s="48">
        <f t="shared" ref="G101:G107" si="10">F101*D101*C101</f>
        <v>0</v>
      </c>
      <c r="H101" s="48">
        <f t="shared" si="9"/>
        <v>0</v>
      </c>
      <c r="I101" s="75"/>
    </row>
    <row r="102" spans="1:9" ht="17" hidden="1" customHeight="1" x14ac:dyDescent="0.2">
      <c r="A102" s="27">
        <v>2</v>
      </c>
      <c r="B102" s="46" t="s">
        <v>95</v>
      </c>
      <c r="C102" s="47"/>
      <c r="D102" s="48">
        <v>5000</v>
      </c>
      <c r="E102" s="48">
        <f t="shared" si="8"/>
        <v>5560</v>
      </c>
      <c r="F102" s="43">
        <f t="shared" si="5"/>
        <v>1</v>
      </c>
      <c r="G102" s="48">
        <f t="shared" si="10"/>
        <v>0</v>
      </c>
      <c r="H102" s="48">
        <f t="shared" si="9"/>
        <v>0</v>
      </c>
      <c r="I102" s="75"/>
    </row>
    <row r="103" spans="1:9" ht="17" hidden="1" customHeight="1" x14ac:dyDescent="0.2">
      <c r="A103" s="27">
        <v>3</v>
      </c>
      <c r="B103" s="46" t="s">
        <v>96</v>
      </c>
      <c r="C103" s="47"/>
      <c r="D103" s="48">
        <v>500</v>
      </c>
      <c r="E103" s="48">
        <f t="shared" si="8"/>
        <v>560</v>
      </c>
      <c r="F103" s="43">
        <f t="shared" si="5"/>
        <v>1</v>
      </c>
      <c r="G103" s="48">
        <f t="shared" si="10"/>
        <v>0</v>
      </c>
      <c r="H103" s="48">
        <f t="shared" si="9"/>
        <v>0</v>
      </c>
      <c r="I103" s="75"/>
    </row>
    <row r="104" spans="1:9" ht="17" hidden="1" customHeight="1" x14ac:dyDescent="0.2">
      <c r="A104" s="27">
        <v>4</v>
      </c>
      <c r="B104" s="49" t="s">
        <v>97</v>
      </c>
      <c r="C104" s="47"/>
      <c r="D104" s="48">
        <v>2500</v>
      </c>
      <c r="E104" s="48">
        <f t="shared" si="8"/>
        <v>2780</v>
      </c>
      <c r="F104" s="43">
        <f t="shared" si="5"/>
        <v>1</v>
      </c>
      <c r="G104" s="48">
        <f t="shared" si="10"/>
        <v>0</v>
      </c>
      <c r="H104" s="48">
        <f t="shared" si="9"/>
        <v>0</v>
      </c>
      <c r="I104" s="75"/>
    </row>
    <row r="105" spans="1:9" ht="17" hidden="1" customHeight="1" x14ac:dyDescent="0.2">
      <c r="A105" s="27">
        <v>5</v>
      </c>
      <c r="B105" s="49" t="s">
        <v>98</v>
      </c>
      <c r="C105" s="47"/>
      <c r="D105" s="48">
        <v>10000</v>
      </c>
      <c r="E105" s="48">
        <f t="shared" si="8"/>
        <v>11120</v>
      </c>
      <c r="F105" s="43">
        <f>$C$11</f>
        <v>1</v>
      </c>
      <c r="G105" s="48">
        <f t="shared" si="10"/>
        <v>0</v>
      </c>
      <c r="H105" s="48">
        <f t="shared" si="9"/>
        <v>0</v>
      </c>
      <c r="I105" s="75"/>
    </row>
    <row r="106" spans="1:9" ht="17" hidden="1" customHeight="1" x14ac:dyDescent="0.2">
      <c r="A106" s="27">
        <v>6</v>
      </c>
      <c r="B106" s="50" t="s">
        <v>42</v>
      </c>
      <c r="C106" s="47"/>
      <c r="D106" s="48">
        <v>4000</v>
      </c>
      <c r="E106" s="48">
        <f t="shared" si="8"/>
        <v>4450</v>
      </c>
      <c r="F106" s="43">
        <v>1</v>
      </c>
      <c r="G106" s="48">
        <f t="shared" si="10"/>
        <v>0</v>
      </c>
      <c r="H106" s="48">
        <f t="shared" si="9"/>
        <v>0</v>
      </c>
      <c r="I106" s="75"/>
    </row>
    <row r="107" spans="1:9" ht="17" hidden="1" customHeight="1" x14ac:dyDescent="0.2">
      <c r="A107" s="25">
        <v>7</v>
      </c>
      <c r="B107" s="36" t="s">
        <v>43</v>
      </c>
      <c r="C107" s="37"/>
      <c r="D107" s="42">
        <v>3000</v>
      </c>
      <c r="E107" s="42">
        <f t="shared" si="8"/>
        <v>3340</v>
      </c>
      <c r="F107" s="43">
        <v>1</v>
      </c>
      <c r="G107" s="42">
        <f t="shared" si="10"/>
        <v>0</v>
      </c>
      <c r="H107" s="42">
        <f t="shared" si="9"/>
        <v>0</v>
      </c>
      <c r="I107" s="75"/>
    </row>
    <row r="108" spans="1:9" ht="17" hidden="1" customHeight="1" x14ac:dyDescent="0.2">
      <c r="A108" s="26"/>
      <c r="B108" s="84" t="s">
        <v>99</v>
      </c>
      <c r="C108" s="84"/>
      <c r="D108" s="84"/>
      <c r="E108" s="84"/>
      <c r="F108" s="84"/>
      <c r="G108" s="44">
        <f>SUM(G100:G107)</f>
        <v>0</v>
      </c>
      <c r="H108" s="44">
        <f>SUM(H100:H107)</f>
        <v>0</v>
      </c>
      <c r="I108" s="75"/>
    </row>
    <row r="109" spans="1:9" ht="20" customHeight="1" x14ac:dyDescent="0.2">
      <c r="A109" s="34" t="s">
        <v>100</v>
      </c>
      <c r="B109" s="64"/>
      <c r="C109" s="64"/>
      <c r="D109" s="64"/>
      <c r="E109" s="64"/>
      <c r="F109" s="64"/>
      <c r="G109" s="69">
        <f>G122</f>
        <v>39000</v>
      </c>
      <c r="H109" s="35"/>
      <c r="I109" s="75"/>
    </row>
    <row r="110" spans="1:9" ht="18" hidden="1" customHeight="1" x14ac:dyDescent="0.2">
      <c r="A110" s="25">
        <v>1</v>
      </c>
      <c r="B110" s="40" t="s">
        <v>101</v>
      </c>
      <c r="C110" s="37"/>
      <c r="D110" s="42">
        <v>5000</v>
      </c>
      <c r="E110" s="42">
        <f t="shared" ref="E110:E121" si="11">_xlfn.CEILING.MATH(D110+($C$10*((D110/0.9)-D110)),10,3)</f>
        <v>5560</v>
      </c>
      <c r="F110" s="43">
        <f t="shared" si="5"/>
        <v>1</v>
      </c>
      <c r="G110" s="42">
        <f>F110*D110*C110</f>
        <v>0</v>
      </c>
      <c r="H110" s="42">
        <f>F110*E110*C110</f>
        <v>0</v>
      </c>
      <c r="I110" s="75"/>
    </row>
    <row r="111" spans="1:9" ht="18" hidden="1" customHeight="1" x14ac:dyDescent="0.2">
      <c r="A111" s="25">
        <v>1</v>
      </c>
      <c r="B111" s="40" t="s">
        <v>102</v>
      </c>
      <c r="C111" s="37"/>
      <c r="D111" s="42">
        <v>7500</v>
      </c>
      <c r="E111" s="42">
        <f t="shared" si="11"/>
        <v>8340</v>
      </c>
      <c r="F111" s="43">
        <f t="shared" si="5"/>
        <v>1</v>
      </c>
      <c r="G111" s="42">
        <f t="shared" ref="G111:G121" si="12">F111*D111*C111</f>
        <v>0</v>
      </c>
      <c r="H111" s="42">
        <f>F111*E111*C111</f>
        <v>0</v>
      </c>
      <c r="I111" s="75"/>
    </row>
    <row r="112" spans="1:9" ht="18" customHeight="1" x14ac:dyDescent="0.2">
      <c r="A112" s="25">
        <v>1</v>
      </c>
      <c r="B112" s="40" t="s">
        <v>195</v>
      </c>
      <c r="C112" s="37">
        <v>2</v>
      </c>
      <c r="D112" s="42">
        <v>10000</v>
      </c>
      <c r="E112" s="42">
        <f t="shared" si="11"/>
        <v>11120</v>
      </c>
      <c r="F112" s="43">
        <f t="shared" si="5"/>
        <v>1</v>
      </c>
      <c r="G112" s="42">
        <f t="shared" si="12"/>
        <v>20000</v>
      </c>
      <c r="H112" s="42">
        <f t="shared" ref="H112:H117" si="13">F112*E112*C112</f>
        <v>22240</v>
      </c>
      <c r="I112" s="75"/>
    </row>
    <row r="113" spans="1:9" ht="18" customHeight="1" x14ac:dyDescent="0.2">
      <c r="A113" s="25">
        <v>2</v>
      </c>
      <c r="B113" s="49" t="s">
        <v>197</v>
      </c>
      <c r="C113" s="37">
        <v>1</v>
      </c>
      <c r="D113" s="42">
        <v>3000</v>
      </c>
      <c r="E113" s="42">
        <f t="shared" si="11"/>
        <v>3340</v>
      </c>
      <c r="F113" s="43">
        <f t="shared" si="5"/>
        <v>1</v>
      </c>
      <c r="G113" s="42">
        <f t="shared" si="12"/>
        <v>3000</v>
      </c>
      <c r="H113" s="42">
        <f t="shared" si="13"/>
        <v>3340</v>
      </c>
      <c r="I113" s="75"/>
    </row>
    <row r="114" spans="1:9" ht="18" hidden="1" customHeight="1" x14ac:dyDescent="0.2">
      <c r="A114" s="25">
        <v>1</v>
      </c>
      <c r="B114" s="40" t="s">
        <v>103</v>
      </c>
      <c r="C114" s="37"/>
      <c r="D114" s="42">
        <v>6000</v>
      </c>
      <c r="E114" s="42">
        <f t="shared" si="11"/>
        <v>6670</v>
      </c>
      <c r="F114" s="43">
        <f t="shared" ref="F114:F117" si="14">($C$11-1)*1/2+1</f>
        <v>1</v>
      </c>
      <c r="G114" s="42">
        <f t="shared" si="12"/>
        <v>0</v>
      </c>
      <c r="H114" s="42">
        <f t="shared" si="13"/>
        <v>0</v>
      </c>
      <c r="I114" s="75"/>
    </row>
    <row r="115" spans="1:9" ht="18" hidden="1" customHeight="1" x14ac:dyDescent="0.2">
      <c r="A115" s="25">
        <v>2</v>
      </c>
      <c r="B115" s="40" t="s">
        <v>133</v>
      </c>
      <c r="C115" s="37"/>
      <c r="D115" s="42">
        <v>2500</v>
      </c>
      <c r="E115" s="42">
        <f t="shared" si="11"/>
        <v>2780</v>
      </c>
      <c r="F115" s="43">
        <f t="shared" si="14"/>
        <v>1</v>
      </c>
      <c r="G115" s="42">
        <f t="shared" si="12"/>
        <v>0</v>
      </c>
      <c r="H115" s="42">
        <f t="shared" si="13"/>
        <v>0</v>
      </c>
      <c r="I115" s="75"/>
    </row>
    <row r="116" spans="1:9" ht="18" hidden="1" customHeight="1" x14ac:dyDescent="0.2">
      <c r="A116" s="25"/>
      <c r="B116" s="41" t="s">
        <v>104</v>
      </c>
      <c r="C116" s="37"/>
      <c r="D116" s="42">
        <v>1200</v>
      </c>
      <c r="E116" s="42">
        <f t="shared" si="11"/>
        <v>1340</v>
      </c>
      <c r="F116" s="43">
        <f t="shared" si="14"/>
        <v>1</v>
      </c>
      <c r="G116" s="42">
        <f t="shared" si="12"/>
        <v>0</v>
      </c>
      <c r="H116" s="42">
        <f t="shared" si="13"/>
        <v>0</v>
      </c>
      <c r="I116" s="75"/>
    </row>
    <row r="117" spans="1:9" ht="18" hidden="1" customHeight="1" x14ac:dyDescent="0.2">
      <c r="A117" s="25"/>
      <c r="B117" s="41" t="s">
        <v>105</v>
      </c>
      <c r="C117" s="37"/>
      <c r="D117" s="42">
        <v>1000</v>
      </c>
      <c r="E117" s="42">
        <f t="shared" si="11"/>
        <v>1120</v>
      </c>
      <c r="F117" s="43">
        <f t="shared" si="14"/>
        <v>1</v>
      </c>
      <c r="G117" s="42">
        <f>F117*D117*C117</f>
        <v>0</v>
      </c>
      <c r="H117" s="42">
        <f t="shared" si="13"/>
        <v>0</v>
      </c>
      <c r="I117" s="75"/>
    </row>
    <row r="118" spans="1:9" ht="18" customHeight="1" x14ac:dyDescent="0.2">
      <c r="A118" s="25">
        <v>3</v>
      </c>
      <c r="B118" s="41" t="s">
        <v>106</v>
      </c>
      <c r="C118" s="37">
        <v>1</v>
      </c>
      <c r="D118" s="42">
        <v>10000</v>
      </c>
      <c r="E118" s="42">
        <f t="shared" si="11"/>
        <v>11120</v>
      </c>
      <c r="F118" s="43">
        <f>$C$11</f>
        <v>1</v>
      </c>
      <c r="G118" s="42">
        <f t="shared" si="12"/>
        <v>10000</v>
      </c>
      <c r="H118" s="42">
        <f>F118*E118*C118</f>
        <v>11120</v>
      </c>
      <c r="I118" s="75"/>
    </row>
    <row r="119" spans="1:9" ht="18" hidden="1" customHeight="1" x14ac:dyDescent="0.2">
      <c r="A119" s="25">
        <v>4</v>
      </c>
      <c r="B119" s="41" t="s">
        <v>107</v>
      </c>
      <c r="C119" s="37"/>
      <c r="D119" s="42">
        <v>8000</v>
      </c>
      <c r="E119" s="42">
        <f t="shared" si="11"/>
        <v>8890</v>
      </c>
      <c r="F119" s="43">
        <f>$C$11</f>
        <v>1</v>
      </c>
      <c r="G119" s="42">
        <f t="shared" si="12"/>
        <v>0</v>
      </c>
      <c r="H119" s="42">
        <f>F119*E119*C119</f>
        <v>0</v>
      </c>
      <c r="I119" s="75"/>
    </row>
    <row r="120" spans="1:9" ht="18" customHeight="1" x14ac:dyDescent="0.2">
      <c r="A120" s="25">
        <v>4</v>
      </c>
      <c r="B120" s="36" t="s">
        <v>42</v>
      </c>
      <c r="C120" s="37">
        <v>2</v>
      </c>
      <c r="D120" s="42">
        <v>3000</v>
      </c>
      <c r="E120" s="42">
        <f t="shared" si="11"/>
        <v>3340</v>
      </c>
      <c r="F120" s="43">
        <v>1</v>
      </c>
      <c r="G120" s="42">
        <f t="shared" si="12"/>
        <v>6000</v>
      </c>
      <c r="H120" s="42">
        <f>F120*E120*C120</f>
        <v>6680</v>
      </c>
      <c r="I120" s="75"/>
    </row>
    <row r="121" spans="1:9" ht="18" hidden="1" customHeight="1" x14ac:dyDescent="0.2">
      <c r="A121" s="25">
        <v>7</v>
      </c>
      <c r="B121" s="36" t="s">
        <v>43</v>
      </c>
      <c r="C121" s="37"/>
      <c r="D121" s="42">
        <v>3000</v>
      </c>
      <c r="E121" s="42">
        <f t="shared" si="11"/>
        <v>3340</v>
      </c>
      <c r="F121" s="43">
        <v>1</v>
      </c>
      <c r="G121" s="42">
        <f t="shared" si="12"/>
        <v>0</v>
      </c>
      <c r="H121" s="42">
        <f>F121*E121*C121</f>
        <v>0</v>
      </c>
      <c r="I121" s="75"/>
    </row>
    <row r="122" spans="1:9" ht="14" customHeight="1" x14ac:dyDescent="0.2">
      <c r="A122" s="26"/>
      <c r="B122" s="86" t="s">
        <v>108</v>
      </c>
      <c r="C122" s="86"/>
      <c r="D122" s="86"/>
      <c r="E122" s="86"/>
      <c r="F122" s="87"/>
      <c r="G122" s="44">
        <f>SUM(G110:G121)</f>
        <v>39000</v>
      </c>
      <c r="H122" s="44">
        <f>SUM(H110:H121)</f>
        <v>43380</v>
      </c>
      <c r="I122" s="75"/>
    </row>
    <row r="123" spans="1:9" ht="17" hidden="1" customHeight="1" x14ac:dyDescent="0.2">
      <c r="A123" s="34" t="s">
        <v>109</v>
      </c>
      <c r="B123" s="64"/>
      <c r="C123" s="64"/>
      <c r="D123" s="64"/>
      <c r="E123" s="64"/>
      <c r="F123" s="64"/>
      <c r="G123" s="69">
        <f>G130</f>
        <v>0</v>
      </c>
      <c r="H123" s="35"/>
      <c r="I123" s="75"/>
    </row>
    <row r="124" spans="1:9" ht="20" hidden="1" customHeight="1" x14ac:dyDescent="0.2">
      <c r="A124" s="71">
        <v>1</v>
      </c>
      <c r="B124" s="51" t="s">
        <v>110</v>
      </c>
      <c r="C124" s="37"/>
      <c r="D124" s="42">
        <v>3000</v>
      </c>
      <c r="E124" s="42">
        <f t="shared" ref="E124:E129" si="15">_xlfn.CEILING.MATH(D124+($C$10*((D124/0.9)-D124)),10,3)</f>
        <v>3340</v>
      </c>
      <c r="F124" s="43">
        <f t="shared" ref="F124:F128" si="16">($C$11-1)*1/2+1</f>
        <v>1</v>
      </c>
      <c r="G124" s="42">
        <f>F124*D124*C124</f>
        <v>0</v>
      </c>
      <c r="H124" s="42">
        <f t="shared" ref="H124:H129" si="17">F124*E124*C124</f>
        <v>0</v>
      </c>
      <c r="I124" s="75"/>
    </row>
    <row r="125" spans="1:9" ht="34" hidden="1" customHeight="1" x14ac:dyDescent="0.2">
      <c r="A125" s="71">
        <v>1</v>
      </c>
      <c r="B125" s="51" t="s">
        <v>111</v>
      </c>
      <c r="C125" s="37"/>
      <c r="D125" s="42">
        <v>20000</v>
      </c>
      <c r="E125" s="42">
        <f t="shared" si="15"/>
        <v>22230</v>
      </c>
      <c r="F125" s="43">
        <f t="shared" si="16"/>
        <v>1</v>
      </c>
      <c r="G125" s="42">
        <f t="shared" ref="G125:G129" si="18">F125*D125*C125</f>
        <v>0</v>
      </c>
      <c r="H125" s="42">
        <f t="shared" si="17"/>
        <v>0</v>
      </c>
      <c r="I125" s="75"/>
    </row>
    <row r="126" spans="1:9" ht="20" hidden="1" customHeight="1" x14ac:dyDescent="0.2">
      <c r="A126" s="71">
        <v>3</v>
      </c>
      <c r="B126" s="51" t="s">
        <v>112</v>
      </c>
      <c r="C126" s="37"/>
      <c r="D126" s="42">
        <v>2000</v>
      </c>
      <c r="E126" s="42">
        <f t="shared" si="15"/>
        <v>2230</v>
      </c>
      <c r="F126" s="43">
        <f t="shared" si="16"/>
        <v>1</v>
      </c>
      <c r="G126" s="42">
        <f t="shared" si="18"/>
        <v>0</v>
      </c>
      <c r="H126" s="42">
        <f t="shared" si="17"/>
        <v>0</v>
      </c>
      <c r="I126" s="75"/>
    </row>
    <row r="127" spans="1:9" ht="20" hidden="1" customHeight="1" x14ac:dyDescent="0.2">
      <c r="A127" s="71">
        <v>4</v>
      </c>
      <c r="B127" s="51" t="s">
        <v>113</v>
      </c>
      <c r="C127" s="37"/>
      <c r="D127" s="42">
        <v>2000</v>
      </c>
      <c r="E127" s="42">
        <f t="shared" si="15"/>
        <v>2230</v>
      </c>
      <c r="F127" s="43">
        <f t="shared" si="16"/>
        <v>1</v>
      </c>
      <c r="G127" s="42">
        <f t="shared" si="18"/>
        <v>0</v>
      </c>
      <c r="H127" s="42">
        <f t="shared" si="17"/>
        <v>0</v>
      </c>
      <c r="I127" s="75"/>
    </row>
    <row r="128" spans="1:9" ht="20" hidden="1" customHeight="1" x14ac:dyDescent="0.2">
      <c r="A128" s="71">
        <v>2</v>
      </c>
      <c r="B128" s="51" t="s">
        <v>114</v>
      </c>
      <c r="C128" s="37"/>
      <c r="D128" s="42">
        <v>750</v>
      </c>
      <c r="E128" s="42">
        <f t="shared" si="15"/>
        <v>840</v>
      </c>
      <c r="F128" s="43">
        <f t="shared" si="16"/>
        <v>1</v>
      </c>
      <c r="G128" s="42">
        <f t="shared" si="18"/>
        <v>0</v>
      </c>
      <c r="H128" s="42">
        <f t="shared" si="17"/>
        <v>0</v>
      </c>
      <c r="I128" s="75"/>
    </row>
    <row r="129" spans="1:12" ht="20" hidden="1" customHeight="1" x14ac:dyDescent="0.2">
      <c r="A129" s="71">
        <v>3</v>
      </c>
      <c r="B129" s="51" t="s">
        <v>107</v>
      </c>
      <c r="C129" s="37"/>
      <c r="D129" s="42">
        <v>8000</v>
      </c>
      <c r="E129" s="42">
        <f t="shared" si="15"/>
        <v>8890</v>
      </c>
      <c r="F129" s="43">
        <f>$C$11</f>
        <v>1</v>
      </c>
      <c r="G129" s="42">
        <f t="shared" si="18"/>
        <v>0</v>
      </c>
      <c r="H129" s="42">
        <f t="shared" si="17"/>
        <v>0</v>
      </c>
      <c r="I129" s="75"/>
    </row>
    <row r="130" spans="1:12" ht="15" hidden="1" customHeight="1" x14ac:dyDescent="0.2">
      <c r="A130" s="26"/>
      <c r="B130" s="86" t="s">
        <v>108</v>
      </c>
      <c r="C130" s="86"/>
      <c r="D130" s="86"/>
      <c r="E130" s="86"/>
      <c r="F130" s="87"/>
      <c r="G130" s="44">
        <f>SUM(G124:G129)</f>
        <v>0</v>
      </c>
      <c r="H130" s="44">
        <f>SUM(H124:H129)</f>
        <v>0</v>
      </c>
      <c r="I130" s="75"/>
    </row>
    <row r="131" spans="1:12" ht="19" hidden="1" customHeight="1" x14ac:dyDescent="0.2">
      <c r="A131" s="34" t="s">
        <v>188</v>
      </c>
      <c r="B131" s="64"/>
      <c r="C131" s="64"/>
      <c r="D131" s="64"/>
      <c r="E131" s="64"/>
      <c r="F131" s="64"/>
      <c r="G131" s="69">
        <f>G166</f>
        <v>0</v>
      </c>
      <c r="H131" s="35"/>
      <c r="I131" s="76"/>
      <c r="J131" s="76"/>
      <c r="K131" s="76"/>
      <c r="L131" s="76"/>
    </row>
    <row r="132" spans="1:12" ht="19" hidden="1" customHeight="1" x14ac:dyDescent="0.2">
      <c r="A132" s="25">
        <v>1</v>
      </c>
      <c r="B132" s="36" t="s">
        <v>115</v>
      </c>
      <c r="C132" s="37"/>
      <c r="D132" s="42">
        <v>4000</v>
      </c>
      <c r="E132" s="42">
        <f t="shared" ref="E132:E165" si="19">_xlfn.CEILING.MATH(D132+($C$10*((D132/0.9)-D132)),10,3)</f>
        <v>4450</v>
      </c>
      <c r="F132" s="43">
        <f t="shared" ref="F132:F162" si="20">($C$11-1)*1/2+1</f>
        <v>1</v>
      </c>
      <c r="G132" s="42">
        <f>F132*D132*C132</f>
        <v>0</v>
      </c>
      <c r="H132" s="42">
        <f t="shared" ref="H132:H165" si="21">F132*E132*C132</f>
        <v>0</v>
      </c>
      <c r="I132" s="75"/>
    </row>
    <row r="133" spans="1:12" ht="19" hidden="1" customHeight="1" x14ac:dyDescent="0.2">
      <c r="A133" s="25">
        <v>2</v>
      </c>
      <c r="B133" s="36" t="s">
        <v>116</v>
      </c>
      <c r="C133" s="37"/>
      <c r="D133" s="42">
        <v>5000</v>
      </c>
      <c r="E133" s="42">
        <f t="shared" si="19"/>
        <v>5560</v>
      </c>
      <c r="F133" s="43">
        <f t="shared" si="20"/>
        <v>1</v>
      </c>
      <c r="G133" s="42">
        <f t="shared" ref="G133:G165" si="22">F133*D133*C133</f>
        <v>0</v>
      </c>
      <c r="H133" s="42">
        <f t="shared" si="21"/>
        <v>0</v>
      </c>
      <c r="I133" s="75"/>
    </row>
    <row r="134" spans="1:12" ht="19" hidden="1" customHeight="1" x14ac:dyDescent="0.2">
      <c r="A134" s="25">
        <v>3</v>
      </c>
      <c r="B134" s="36" t="s">
        <v>117</v>
      </c>
      <c r="C134" s="37"/>
      <c r="D134" s="42">
        <v>3000</v>
      </c>
      <c r="E134" s="42">
        <f t="shared" si="19"/>
        <v>3340</v>
      </c>
      <c r="F134" s="43">
        <f t="shared" si="20"/>
        <v>1</v>
      </c>
      <c r="G134" s="42">
        <f t="shared" si="22"/>
        <v>0</v>
      </c>
      <c r="H134" s="42">
        <f t="shared" si="21"/>
        <v>0</v>
      </c>
      <c r="I134" s="75"/>
    </row>
    <row r="135" spans="1:12" ht="19" hidden="1" customHeight="1" x14ac:dyDescent="0.2">
      <c r="A135" s="25">
        <v>4</v>
      </c>
      <c r="B135" s="36" t="s">
        <v>118</v>
      </c>
      <c r="C135" s="37"/>
      <c r="D135" s="42">
        <v>3000</v>
      </c>
      <c r="E135" s="42">
        <f t="shared" si="19"/>
        <v>3340</v>
      </c>
      <c r="F135" s="43">
        <f t="shared" si="20"/>
        <v>1</v>
      </c>
      <c r="G135" s="42">
        <f t="shared" si="22"/>
        <v>0</v>
      </c>
      <c r="H135" s="42">
        <f t="shared" si="21"/>
        <v>0</v>
      </c>
      <c r="I135" s="75"/>
    </row>
    <row r="136" spans="1:12" ht="19" hidden="1" customHeight="1" x14ac:dyDescent="0.2">
      <c r="A136" s="25">
        <v>5</v>
      </c>
      <c r="B136" s="36" t="s">
        <v>119</v>
      </c>
      <c r="C136" s="37"/>
      <c r="D136" s="42">
        <v>3000</v>
      </c>
      <c r="E136" s="42">
        <f t="shared" si="19"/>
        <v>3340</v>
      </c>
      <c r="F136" s="43">
        <f t="shared" si="20"/>
        <v>1</v>
      </c>
      <c r="G136" s="42">
        <f t="shared" si="22"/>
        <v>0</v>
      </c>
      <c r="H136" s="42">
        <f t="shared" si="21"/>
        <v>0</v>
      </c>
      <c r="I136" s="75"/>
    </row>
    <row r="137" spans="1:12" ht="19" hidden="1" customHeight="1" x14ac:dyDescent="0.2">
      <c r="A137" s="25">
        <v>6</v>
      </c>
      <c r="B137" s="41" t="s">
        <v>120</v>
      </c>
      <c r="C137" s="37"/>
      <c r="D137" s="42">
        <v>1200</v>
      </c>
      <c r="E137" s="42">
        <f t="shared" si="19"/>
        <v>1340</v>
      </c>
      <c r="F137" s="43">
        <f t="shared" si="20"/>
        <v>1</v>
      </c>
      <c r="G137" s="42">
        <f t="shared" si="22"/>
        <v>0</v>
      </c>
      <c r="H137" s="42">
        <f t="shared" si="21"/>
        <v>0</v>
      </c>
      <c r="I137" s="75"/>
    </row>
    <row r="138" spans="1:12" ht="19" hidden="1" customHeight="1" x14ac:dyDescent="0.2">
      <c r="A138" s="25">
        <v>7</v>
      </c>
      <c r="B138" s="36" t="s">
        <v>121</v>
      </c>
      <c r="C138" s="37"/>
      <c r="D138" s="42">
        <v>3000</v>
      </c>
      <c r="E138" s="42">
        <f t="shared" si="19"/>
        <v>3340</v>
      </c>
      <c r="F138" s="43">
        <f t="shared" si="20"/>
        <v>1</v>
      </c>
      <c r="G138" s="42">
        <f t="shared" si="22"/>
        <v>0</v>
      </c>
      <c r="H138" s="42">
        <f t="shared" si="21"/>
        <v>0</v>
      </c>
      <c r="I138" s="75"/>
    </row>
    <row r="139" spans="1:12" ht="19" hidden="1" customHeight="1" x14ac:dyDescent="0.2">
      <c r="A139" s="25">
        <v>8</v>
      </c>
      <c r="B139" s="36" t="s">
        <v>122</v>
      </c>
      <c r="C139" s="37"/>
      <c r="D139" s="42">
        <v>2000</v>
      </c>
      <c r="E139" s="42">
        <f t="shared" si="19"/>
        <v>2230</v>
      </c>
      <c r="F139" s="43">
        <f t="shared" si="20"/>
        <v>1</v>
      </c>
      <c r="G139" s="42">
        <f t="shared" si="22"/>
        <v>0</v>
      </c>
      <c r="H139" s="42">
        <f t="shared" si="21"/>
        <v>0</v>
      </c>
      <c r="I139" s="75"/>
    </row>
    <row r="140" spans="1:12" ht="19" hidden="1" customHeight="1" x14ac:dyDescent="0.2">
      <c r="A140" s="25">
        <v>9</v>
      </c>
      <c r="B140" s="36" t="s">
        <v>123</v>
      </c>
      <c r="C140" s="37"/>
      <c r="D140" s="42">
        <v>2500</v>
      </c>
      <c r="E140" s="42">
        <f t="shared" si="19"/>
        <v>2780</v>
      </c>
      <c r="F140" s="43">
        <f t="shared" si="20"/>
        <v>1</v>
      </c>
      <c r="G140" s="42">
        <f t="shared" si="22"/>
        <v>0</v>
      </c>
      <c r="H140" s="42">
        <f t="shared" si="21"/>
        <v>0</v>
      </c>
      <c r="I140" s="75"/>
    </row>
    <row r="141" spans="1:12" ht="19" hidden="1" customHeight="1" x14ac:dyDescent="0.2">
      <c r="A141" s="25">
        <v>1</v>
      </c>
      <c r="B141" s="36" t="s">
        <v>124</v>
      </c>
      <c r="C141" s="37"/>
      <c r="D141" s="42">
        <v>2350</v>
      </c>
      <c r="E141" s="42">
        <f t="shared" si="19"/>
        <v>2620</v>
      </c>
      <c r="F141" s="43">
        <v>2</v>
      </c>
      <c r="G141" s="42">
        <f t="shared" si="22"/>
        <v>0</v>
      </c>
      <c r="H141" s="42">
        <f t="shared" si="21"/>
        <v>0</v>
      </c>
      <c r="I141" s="75"/>
    </row>
    <row r="142" spans="1:12" ht="19" hidden="1" customHeight="1" x14ac:dyDescent="0.2">
      <c r="A142" s="25">
        <v>11</v>
      </c>
      <c r="B142" s="36" t="s">
        <v>125</v>
      </c>
      <c r="C142" s="37"/>
      <c r="D142" s="42">
        <v>15000</v>
      </c>
      <c r="E142" s="42">
        <f t="shared" si="19"/>
        <v>16670</v>
      </c>
      <c r="F142" s="43">
        <f t="shared" si="20"/>
        <v>1</v>
      </c>
      <c r="G142" s="42">
        <f t="shared" si="22"/>
        <v>0</v>
      </c>
      <c r="H142" s="42">
        <f t="shared" si="21"/>
        <v>0</v>
      </c>
      <c r="I142" s="75"/>
    </row>
    <row r="143" spans="1:12" ht="19" hidden="1" customHeight="1" x14ac:dyDescent="0.2">
      <c r="A143" s="25">
        <v>12</v>
      </c>
      <c r="B143" s="36" t="s">
        <v>126</v>
      </c>
      <c r="C143" s="37"/>
      <c r="D143" s="42">
        <v>3000</v>
      </c>
      <c r="E143" s="42">
        <f t="shared" si="19"/>
        <v>3340</v>
      </c>
      <c r="F143" s="43">
        <f t="shared" si="20"/>
        <v>1</v>
      </c>
      <c r="G143" s="42">
        <f t="shared" si="22"/>
        <v>0</v>
      </c>
      <c r="H143" s="42">
        <f t="shared" si="21"/>
        <v>0</v>
      </c>
      <c r="I143" s="75"/>
    </row>
    <row r="144" spans="1:12" ht="19" hidden="1" customHeight="1" x14ac:dyDescent="0.2">
      <c r="A144" s="25">
        <v>2</v>
      </c>
      <c r="B144" s="36" t="s">
        <v>97</v>
      </c>
      <c r="C144" s="37"/>
      <c r="D144" s="42">
        <v>3000</v>
      </c>
      <c r="E144" s="42">
        <f t="shared" si="19"/>
        <v>3340</v>
      </c>
      <c r="F144" s="43">
        <f t="shared" si="20"/>
        <v>1</v>
      </c>
      <c r="G144" s="42">
        <f t="shared" si="22"/>
        <v>0</v>
      </c>
      <c r="H144" s="42">
        <f t="shared" si="21"/>
        <v>0</v>
      </c>
      <c r="I144" s="75"/>
    </row>
    <row r="145" spans="1:9" ht="19" hidden="1" customHeight="1" x14ac:dyDescent="0.2">
      <c r="A145" s="25">
        <v>3</v>
      </c>
      <c r="B145" s="36" t="s">
        <v>97</v>
      </c>
      <c r="C145" s="37"/>
      <c r="D145" s="42">
        <v>2350</v>
      </c>
      <c r="E145" s="42">
        <f t="shared" si="19"/>
        <v>2620</v>
      </c>
      <c r="F145" s="43">
        <v>1</v>
      </c>
      <c r="G145" s="42">
        <f t="shared" si="22"/>
        <v>0</v>
      </c>
      <c r="H145" s="42">
        <f t="shared" si="21"/>
        <v>0</v>
      </c>
      <c r="I145" s="75"/>
    </row>
    <row r="146" spans="1:9" ht="19" hidden="1" customHeight="1" x14ac:dyDescent="0.2">
      <c r="A146" s="25">
        <v>15</v>
      </c>
      <c r="B146" s="36" t="s">
        <v>127</v>
      </c>
      <c r="C146" s="37"/>
      <c r="D146" s="42">
        <v>4500</v>
      </c>
      <c r="E146" s="42">
        <f t="shared" si="19"/>
        <v>5000</v>
      </c>
      <c r="F146" s="43">
        <f t="shared" si="20"/>
        <v>1</v>
      </c>
      <c r="G146" s="42">
        <f t="shared" si="22"/>
        <v>0</v>
      </c>
      <c r="H146" s="42">
        <f t="shared" si="21"/>
        <v>0</v>
      </c>
      <c r="I146" s="75"/>
    </row>
    <row r="147" spans="1:9" ht="19" hidden="1" customHeight="1" x14ac:dyDescent="0.2">
      <c r="A147" s="25">
        <v>16</v>
      </c>
      <c r="B147" s="36" t="s">
        <v>128</v>
      </c>
      <c r="C147" s="37"/>
      <c r="D147" s="42">
        <v>4500</v>
      </c>
      <c r="E147" s="42">
        <f t="shared" si="19"/>
        <v>5000</v>
      </c>
      <c r="F147" s="43">
        <f t="shared" si="20"/>
        <v>1</v>
      </c>
      <c r="G147" s="42">
        <f t="shared" si="22"/>
        <v>0</v>
      </c>
      <c r="H147" s="42">
        <f t="shared" si="21"/>
        <v>0</v>
      </c>
      <c r="I147" s="75"/>
    </row>
    <row r="148" spans="1:9" ht="19" hidden="1" customHeight="1" x14ac:dyDescent="0.2">
      <c r="A148" s="25">
        <v>17</v>
      </c>
      <c r="B148" s="36" t="s">
        <v>129</v>
      </c>
      <c r="C148" s="37"/>
      <c r="D148" s="42">
        <v>4500</v>
      </c>
      <c r="E148" s="42">
        <f t="shared" si="19"/>
        <v>5000</v>
      </c>
      <c r="F148" s="43">
        <f t="shared" si="20"/>
        <v>1</v>
      </c>
      <c r="G148" s="42">
        <f t="shared" si="22"/>
        <v>0</v>
      </c>
      <c r="H148" s="42">
        <f t="shared" si="21"/>
        <v>0</v>
      </c>
      <c r="I148" s="75"/>
    </row>
    <row r="149" spans="1:9" ht="19" hidden="1" customHeight="1" x14ac:dyDescent="0.2">
      <c r="A149" s="25">
        <v>18</v>
      </c>
      <c r="B149" s="36" t="s">
        <v>130</v>
      </c>
      <c r="C149" s="37"/>
      <c r="D149" s="42">
        <v>4500</v>
      </c>
      <c r="E149" s="42">
        <f t="shared" si="19"/>
        <v>5000</v>
      </c>
      <c r="F149" s="43">
        <f t="shared" si="20"/>
        <v>1</v>
      </c>
      <c r="G149" s="42">
        <f t="shared" si="22"/>
        <v>0</v>
      </c>
      <c r="H149" s="42">
        <f t="shared" si="21"/>
        <v>0</v>
      </c>
      <c r="I149" s="75"/>
    </row>
    <row r="150" spans="1:9" ht="19" hidden="1" customHeight="1" x14ac:dyDescent="0.2">
      <c r="A150" s="25">
        <v>19</v>
      </c>
      <c r="B150" s="36" t="s">
        <v>131</v>
      </c>
      <c r="C150" s="37"/>
      <c r="D150" s="42">
        <v>4500</v>
      </c>
      <c r="E150" s="42">
        <f t="shared" si="19"/>
        <v>5000</v>
      </c>
      <c r="F150" s="43">
        <f t="shared" si="20"/>
        <v>1</v>
      </c>
      <c r="G150" s="42">
        <f t="shared" si="22"/>
        <v>0</v>
      </c>
      <c r="H150" s="42">
        <f t="shared" si="21"/>
        <v>0</v>
      </c>
      <c r="I150" s="75"/>
    </row>
    <row r="151" spans="1:9" ht="19" hidden="1" customHeight="1" x14ac:dyDescent="0.2">
      <c r="A151" s="25">
        <v>20</v>
      </c>
      <c r="B151" s="36" t="s">
        <v>132</v>
      </c>
      <c r="C151" s="37"/>
      <c r="D151" s="42">
        <v>2500</v>
      </c>
      <c r="E151" s="42">
        <f t="shared" si="19"/>
        <v>2780</v>
      </c>
      <c r="F151" s="43">
        <f t="shared" si="20"/>
        <v>1</v>
      </c>
      <c r="G151" s="42">
        <f t="shared" si="22"/>
        <v>0</v>
      </c>
      <c r="H151" s="42">
        <f t="shared" si="21"/>
        <v>0</v>
      </c>
      <c r="I151" s="75"/>
    </row>
    <row r="152" spans="1:9" ht="19" hidden="1" customHeight="1" x14ac:dyDescent="0.2">
      <c r="A152" s="25">
        <v>21</v>
      </c>
      <c r="B152" s="40" t="s">
        <v>133</v>
      </c>
      <c r="C152" s="37"/>
      <c r="D152" s="42">
        <v>2000</v>
      </c>
      <c r="E152" s="42">
        <f t="shared" si="19"/>
        <v>2230</v>
      </c>
      <c r="F152" s="43">
        <f t="shared" si="20"/>
        <v>1</v>
      </c>
      <c r="G152" s="42">
        <f t="shared" si="22"/>
        <v>0</v>
      </c>
      <c r="H152" s="42">
        <f t="shared" si="21"/>
        <v>0</v>
      </c>
      <c r="I152" s="75"/>
    </row>
    <row r="153" spans="1:9" ht="19" hidden="1" customHeight="1" x14ac:dyDescent="0.2">
      <c r="A153" s="25">
        <v>1</v>
      </c>
      <c r="B153" s="63" t="s">
        <v>134</v>
      </c>
      <c r="C153" s="37"/>
      <c r="D153" s="42">
        <v>8000</v>
      </c>
      <c r="E153" s="42">
        <f t="shared" si="19"/>
        <v>8890</v>
      </c>
      <c r="F153" s="43">
        <f t="shared" si="20"/>
        <v>1</v>
      </c>
      <c r="G153" s="42">
        <f t="shared" si="22"/>
        <v>0</v>
      </c>
      <c r="H153" s="42">
        <f t="shared" si="21"/>
        <v>0</v>
      </c>
      <c r="I153" s="75"/>
    </row>
    <row r="154" spans="1:9" ht="19" hidden="1" customHeight="1" x14ac:dyDescent="0.2">
      <c r="A154" s="25">
        <v>23</v>
      </c>
      <c r="B154" s="36" t="s">
        <v>135</v>
      </c>
      <c r="C154" s="37"/>
      <c r="D154" s="42">
        <v>3000</v>
      </c>
      <c r="E154" s="42">
        <f t="shared" si="19"/>
        <v>3340</v>
      </c>
      <c r="F154" s="43">
        <f t="shared" si="20"/>
        <v>1</v>
      </c>
      <c r="G154" s="42">
        <f t="shared" si="22"/>
        <v>0</v>
      </c>
      <c r="H154" s="42">
        <f t="shared" si="21"/>
        <v>0</v>
      </c>
      <c r="I154" s="75"/>
    </row>
    <row r="155" spans="1:9" ht="19" hidden="1" customHeight="1" x14ac:dyDescent="0.2">
      <c r="A155" s="25">
        <v>24</v>
      </c>
      <c r="B155" s="36" t="s">
        <v>136</v>
      </c>
      <c r="C155" s="37"/>
      <c r="D155" s="42">
        <v>10000</v>
      </c>
      <c r="E155" s="42">
        <f t="shared" si="19"/>
        <v>11120</v>
      </c>
      <c r="F155" s="43">
        <f t="shared" ref="F155:F161" si="23">$C$11</f>
        <v>1</v>
      </c>
      <c r="G155" s="42">
        <f t="shared" si="22"/>
        <v>0</v>
      </c>
      <c r="H155" s="42">
        <f t="shared" si="21"/>
        <v>0</v>
      </c>
      <c r="I155" s="75"/>
    </row>
    <row r="156" spans="1:9" ht="19" hidden="1" customHeight="1" x14ac:dyDescent="0.2">
      <c r="A156" s="25">
        <v>25</v>
      </c>
      <c r="B156" s="36" t="s">
        <v>137</v>
      </c>
      <c r="C156" s="37"/>
      <c r="D156" s="42">
        <v>10000</v>
      </c>
      <c r="E156" s="42">
        <f t="shared" si="19"/>
        <v>11120</v>
      </c>
      <c r="F156" s="43">
        <f t="shared" si="23"/>
        <v>1</v>
      </c>
      <c r="G156" s="42">
        <f t="shared" si="22"/>
        <v>0</v>
      </c>
      <c r="H156" s="42">
        <f t="shared" si="21"/>
        <v>0</v>
      </c>
      <c r="I156" s="75"/>
    </row>
    <row r="157" spans="1:9" ht="19" hidden="1" customHeight="1" x14ac:dyDescent="0.2">
      <c r="A157" s="25">
        <v>26</v>
      </c>
      <c r="B157" s="36" t="s">
        <v>138</v>
      </c>
      <c r="C157" s="37"/>
      <c r="D157" s="42">
        <v>10000</v>
      </c>
      <c r="E157" s="42">
        <f t="shared" si="19"/>
        <v>11120</v>
      </c>
      <c r="F157" s="43">
        <f t="shared" si="23"/>
        <v>1</v>
      </c>
      <c r="G157" s="42">
        <f t="shared" si="22"/>
        <v>0</v>
      </c>
      <c r="H157" s="42">
        <f t="shared" si="21"/>
        <v>0</v>
      </c>
      <c r="I157" s="75"/>
    </row>
    <row r="158" spans="1:9" ht="19" hidden="1" customHeight="1" x14ac:dyDescent="0.2">
      <c r="A158" s="25">
        <v>2</v>
      </c>
      <c r="B158" s="36" t="s">
        <v>139</v>
      </c>
      <c r="C158" s="37"/>
      <c r="D158" s="42">
        <v>11250</v>
      </c>
      <c r="E158" s="42">
        <f t="shared" si="19"/>
        <v>12500</v>
      </c>
      <c r="F158" s="43">
        <f t="shared" si="23"/>
        <v>1</v>
      </c>
      <c r="G158" s="42">
        <f t="shared" si="22"/>
        <v>0</v>
      </c>
      <c r="H158" s="42">
        <f t="shared" si="21"/>
        <v>0</v>
      </c>
      <c r="I158" s="75"/>
    </row>
    <row r="159" spans="1:9" ht="19" hidden="1" customHeight="1" x14ac:dyDescent="0.2">
      <c r="A159" s="25">
        <v>9</v>
      </c>
      <c r="B159" s="36" t="s">
        <v>140</v>
      </c>
      <c r="C159" s="37"/>
      <c r="D159" s="42">
        <v>12000</v>
      </c>
      <c r="E159" s="42">
        <f t="shared" si="19"/>
        <v>13340</v>
      </c>
      <c r="F159" s="43">
        <f t="shared" si="23"/>
        <v>1</v>
      </c>
      <c r="G159" s="42">
        <f t="shared" si="22"/>
        <v>0</v>
      </c>
      <c r="H159" s="42">
        <f t="shared" si="21"/>
        <v>0</v>
      </c>
      <c r="I159" s="75"/>
    </row>
    <row r="160" spans="1:9" ht="19" hidden="1" customHeight="1" x14ac:dyDescent="0.2">
      <c r="A160" s="25">
        <v>26</v>
      </c>
      <c r="B160" s="36" t="s">
        <v>141</v>
      </c>
      <c r="C160" s="37"/>
      <c r="D160" s="42">
        <v>12000</v>
      </c>
      <c r="E160" s="42">
        <f t="shared" si="19"/>
        <v>13340</v>
      </c>
      <c r="F160" s="43">
        <f t="shared" si="23"/>
        <v>1</v>
      </c>
      <c r="G160" s="42">
        <f t="shared" si="22"/>
        <v>0</v>
      </c>
      <c r="H160" s="42">
        <f t="shared" si="21"/>
        <v>0</v>
      </c>
      <c r="I160" s="75"/>
    </row>
    <row r="161" spans="1:9" ht="19" hidden="1" customHeight="1" x14ac:dyDescent="0.2">
      <c r="A161" s="25">
        <v>4</v>
      </c>
      <c r="B161" s="36" t="s">
        <v>142</v>
      </c>
      <c r="C161" s="37"/>
      <c r="D161" s="42">
        <v>11250</v>
      </c>
      <c r="E161" s="42">
        <f t="shared" si="19"/>
        <v>12500</v>
      </c>
      <c r="F161" s="43">
        <f t="shared" si="23"/>
        <v>1</v>
      </c>
      <c r="G161" s="42">
        <f t="shared" si="22"/>
        <v>0</v>
      </c>
      <c r="H161" s="42">
        <f t="shared" si="21"/>
        <v>0</v>
      </c>
      <c r="I161" s="75"/>
    </row>
    <row r="162" spans="1:9" ht="19" hidden="1" customHeight="1" x14ac:dyDescent="0.2">
      <c r="A162" s="25">
        <v>28</v>
      </c>
      <c r="B162" s="36" t="s">
        <v>143</v>
      </c>
      <c r="C162" s="37"/>
      <c r="D162" s="42">
        <v>3000</v>
      </c>
      <c r="E162" s="42">
        <f t="shared" si="19"/>
        <v>3340</v>
      </c>
      <c r="F162" s="43">
        <f t="shared" si="20"/>
        <v>1</v>
      </c>
      <c r="G162" s="42">
        <f t="shared" si="22"/>
        <v>0</v>
      </c>
      <c r="H162" s="42">
        <f t="shared" si="21"/>
        <v>0</v>
      </c>
      <c r="I162" s="75"/>
    </row>
    <row r="163" spans="1:9" ht="19" hidden="1" customHeight="1" x14ac:dyDescent="0.2">
      <c r="A163" s="25">
        <v>29</v>
      </c>
      <c r="B163" s="36" t="s">
        <v>144</v>
      </c>
      <c r="C163" s="37"/>
      <c r="D163" s="42">
        <v>11000</v>
      </c>
      <c r="E163" s="42">
        <f t="shared" si="19"/>
        <v>12230</v>
      </c>
      <c r="F163" s="43">
        <v>1</v>
      </c>
      <c r="G163" s="42">
        <f t="shared" si="22"/>
        <v>0</v>
      </c>
      <c r="H163" s="42">
        <f t="shared" si="21"/>
        <v>0</v>
      </c>
      <c r="I163" s="75"/>
    </row>
    <row r="164" spans="1:9" ht="19" hidden="1" customHeight="1" x14ac:dyDescent="0.2">
      <c r="A164" s="25">
        <v>30</v>
      </c>
      <c r="B164" s="36" t="s">
        <v>145</v>
      </c>
      <c r="C164" s="37"/>
      <c r="D164" s="42">
        <v>8000</v>
      </c>
      <c r="E164" s="42">
        <f t="shared" si="19"/>
        <v>8890</v>
      </c>
      <c r="F164" s="43">
        <v>1</v>
      </c>
      <c r="G164" s="42">
        <f t="shared" si="22"/>
        <v>0</v>
      </c>
      <c r="H164" s="42">
        <f t="shared" si="21"/>
        <v>0</v>
      </c>
      <c r="I164" s="75"/>
    </row>
    <row r="165" spans="1:9" ht="19" hidden="1" customHeight="1" x14ac:dyDescent="0.2">
      <c r="A165" s="25">
        <v>3</v>
      </c>
      <c r="B165" s="41" t="s">
        <v>146</v>
      </c>
      <c r="C165" s="37"/>
      <c r="D165" s="42">
        <v>3000</v>
      </c>
      <c r="E165" s="42">
        <f t="shared" si="19"/>
        <v>3340</v>
      </c>
      <c r="F165" s="43">
        <v>1</v>
      </c>
      <c r="G165" s="42">
        <f t="shared" si="22"/>
        <v>0</v>
      </c>
      <c r="H165" s="42">
        <f t="shared" si="21"/>
        <v>0</v>
      </c>
      <c r="I165" s="75"/>
    </row>
    <row r="166" spans="1:9" ht="16" hidden="1" customHeight="1" x14ac:dyDescent="0.2">
      <c r="A166" s="26"/>
      <c r="B166" s="85" t="s">
        <v>108</v>
      </c>
      <c r="C166" s="86"/>
      <c r="D166" s="86"/>
      <c r="E166" s="86"/>
      <c r="F166" s="87"/>
      <c r="G166" s="44">
        <f>SUM(G132:G165)</f>
        <v>0</v>
      </c>
      <c r="H166" s="44">
        <f>SUM(H132:H165)</f>
        <v>0</v>
      </c>
      <c r="I166" s="75"/>
    </row>
    <row r="167" spans="1:9" ht="18" hidden="1" customHeight="1" x14ac:dyDescent="0.2">
      <c r="A167" s="34" t="s">
        <v>147</v>
      </c>
      <c r="B167" s="64"/>
      <c r="C167" s="64"/>
      <c r="D167" s="64"/>
      <c r="E167" s="64"/>
      <c r="F167" s="64"/>
      <c r="G167" s="69">
        <f>G173</f>
        <v>0</v>
      </c>
      <c r="H167" s="35"/>
      <c r="I167" s="75"/>
    </row>
    <row r="168" spans="1:9" ht="63" hidden="1" customHeight="1" x14ac:dyDescent="0.2">
      <c r="A168" s="25">
        <v>1</v>
      </c>
      <c r="B168" s="52" t="s">
        <v>148</v>
      </c>
      <c r="C168" s="37"/>
      <c r="D168" s="42">
        <v>180000</v>
      </c>
      <c r="E168" s="42">
        <f>_xlfn.CEILING.MATH(D168+($C$10*((D168/0.9)-D168)),10,3)</f>
        <v>200000</v>
      </c>
      <c r="F168" s="43">
        <f>($C$11-1)*1/2+1</f>
        <v>1</v>
      </c>
      <c r="G168" s="42">
        <f>F168*D168*C168</f>
        <v>0</v>
      </c>
      <c r="H168" s="42">
        <f>F168*E168*C168</f>
        <v>0</v>
      </c>
      <c r="I168" s="75"/>
    </row>
    <row r="169" spans="1:9" ht="17" hidden="1" customHeight="1" x14ac:dyDescent="0.2">
      <c r="A169" s="25">
        <v>2</v>
      </c>
      <c r="B169" s="52" t="s">
        <v>149</v>
      </c>
      <c r="C169" s="37"/>
      <c r="D169" s="42">
        <v>98400</v>
      </c>
      <c r="E169" s="42">
        <f t="shared" ref="E169:E172" si="24">_xlfn.CEILING.MATH(D169+($C$10*((D169/0.9)-D169)),10,3)</f>
        <v>109340</v>
      </c>
      <c r="F169" s="43">
        <f t="shared" ref="F169:F172" si="25">($C$11-1)*1/2+1</f>
        <v>1</v>
      </c>
      <c r="G169" s="42">
        <f t="shared" ref="G169:G172" si="26">F169*D169*C169</f>
        <v>0</v>
      </c>
      <c r="H169" s="42">
        <f>F169*E169*C169</f>
        <v>0</v>
      </c>
      <c r="I169" s="75"/>
    </row>
    <row r="170" spans="1:9" ht="17" hidden="1" customHeight="1" x14ac:dyDescent="0.2">
      <c r="A170" s="25">
        <v>3</v>
      </c>
      <c r="B170" s="52" t="s">
        <v>150</v>
      </c>
      <c r="C170" s="37"/>
      <c r="D170" s="42">
        <v>1500</v>
      </c>
      <c r="E170" s="42">
        <f t="shared" si="24"/>
        <v>1670</v>
      </c>
      <c r="F170" s="43">
        <f t="shared" si="25"/>
        <v>1</v>
      </c>
      <c r="G170" s="42">
        <f t="shared" si="26"/>
        <v>0</v>
      </c>
      <c r="H170" s="42">
        <f>F170*E170*C170</f>
        <v>0</v>
      </c>
      <c r="I170" s="75"/>
    </row>
    <row r="171" spans="1:9" ht="17" hidden="1" customHeight="1" x14ac:dyDescent="0.2">
      <c r="A171" s="25">
        <v>4</v>
      </c>
      <c r="B171" s="52" t="s">
        <v>151</v>
      </c>
      <c r="C171" s="37"/>
      <c r="D171" s="42">
        <v>18000</v>
      </c>
      <c r="E171" s="42">
        <f t="shared" si="24"/>
        <v>20000</v>
      </c>
      <c r="F171" s="43">
        <f t="shared" si="25"/>
        <v>1</v>
      </c>
      <c r="G171" s="42">
        <f t="shared" si="26"/>
        <v>0</v>
      </c>
      <c r="H171" s="42">
        <f>F171*E171*C171</f>
        <v>0</v>
      </c>
      <c r="I171" s="75"/>
    </row>
    <row r="172" spans="1:9" ht="18" hidden="1" customHeight="1" x14ac:dyDescent="0.2">
      <c r="A172" s="25">
        <v>5</v>
      </c>
      <c r="B172" s="52" t="s">
        <v>152</v>
      </c>
      <c r="C172" s="37"/>
      <c r="D172" s="42">
        <v>8000</v>
      </c>
      <c r="E172" s="42">
        <f t="shared" si="24"/>
        <v>8890</v>
      </c>
      <c r="F172" s="43">
        <f t="shared" si="25"/>
        <v>1</v>
      </c>
      <c r="G172" s="42">
        <f t="shared" si="26"/>
        <v>0</v>
      </c>
      <c r="H172" s="42">
        <f>F172*E172*C172</f>
        <v>0</v>
      </c>
      <c r="I172" s="75"/>
    </row>
    <row r="173" spans="1:9" ht="18" hidden="1" customHeight="1" x14ac:dyDescent="0.2">
      <c r="A173" s="25"/>
      <c r="B173" s="91" t="s">
        <v>153</v>
      </c>
      <c r="C173" s="92"/>
      <c r="D173" s="92"/>
      <c r="E173" s="92"/>
      <c r="F173" s="93"/>
      <c r="G173" s="44">
        <f>SUM(G168:G172)</f>
        <v>0</v>
      </c>
      <c r="H173" s="44">
        <f>SUM(H168:H172)</f>
        <v>0</v>
      </c>
      <c r="I173" s="75"/>
    </row>
    <row r="174" spans="1:9" ht="20" hidden="1" customHeight="1" x14ac:dyDescent="0.2">
      <c r="A174" s="34" t="s">
        <v>154</v>
      </c>
      <c r="B174" s="64"/>
      <c r="C174" s="64"/>
      <c r="D174" s="64"/>
      <c r="E174" s="64"/>
      <c r="F174" s="64"/>
      <c r="G174" s="69">
        <f>G180</f>
        <v>0</v>
      </c>
      <c r="H174" s="35"/>
      <c r="I174" s="75"/>
    </row>
    <row r="175" spans="1:9" ht="58" hidden="1" customHeight="1" x14ac:dyDescent="0.2">
      <c r="A175" s="25">
        <v>1</v>
      </c>
      <c r="B175" s="52" t="s">
        <v>155</v>
      </c>
      <c r="C175" s="37"/>
      <c r="D175" s="42">
        <v>130000</v>
      </c>
      <c r="E175" s="42">
        <f t="shared" ref="E175:E179" si="27">_xlfn.CEILING.MATH(D175+($C$10*((D175/0.9)-D175)),10,3)</f>
        <v>144450</v>
      </c>
      <c r="F175" s="43">
        <f>($C$11-1)*1/2+1</f>
        <v>1</v>
      </c>
      <c r="G175" s="42">
        <f>F175*D175*C175</f>
        <v>0</v>
      </c>
      <c r="H175" s="42">
        <f>F175*E175*C175</f>
        <v>0</v>
      </c>
      <c r="I175" s="75"/>
    </row>
    <row r="176" spans="1:9" ht="16" hidden="1" customHeight="1" x14ac:dyDescent="0.2">
      <c r="A176" s="25">
        <v>2</v>
      </c>
      <c r="B176" s="52" t="s">
        <v>156</v>
      </c>
      <c r="C176" s="37"/>
      <c r="D176" s="42">
        <v>37400</v>
      </c>
      <c r="E176" s="42">
        <f t="shared" si="27"/>
        <v>41560</v>
      </c>
      <c r="F176" s="43">
        <f t="shared" ref="F176:F179" si="28">($C$11-1)*1/2+1</f>
        <v>1</v>
      </c>
      <c r="G176" s="42">
        <f t="shared" ref="G176:G179" si="29">F176*D176*C176</f>
        <v>0</v>
      </c>
      <c r="H176" s="42">
        <f>F176*E176*C176</f>
        <v>0</v>
      </c>
      <c r="I176" s="75"/>
    </row>
    <row r="177" spans="1:9" ht="18" hidden="1" customHeight="1" x14ac:dyDescent="0.2">
      <c r="A177" s="25">
        <v>3</v>
      </c>
      <c r="B177" s="52" t="s">
        <v>150</v>
      </c>
      <c r="C177" s="37"/>
      <c r="D177" s="42">
        <v>1500</v>
      </c>
      <c r="E177" s="42">
        <f t="shared" si="27"/>
        <v>1670</v>
      </c>
      <c r="F177" s="43">
        <f t="shared" si="28"/>
        <v>1</v>
      </c>
      <c r="G177" s="42">
        <f t="shared" si="29"/>
        <v>0</v>
      </c>
      <c r="H177" s="42">
        <f>F177*E177*C177</f>
        <v>0</v>
      </c>
      <c r="I177" s="75"/>
    </row>
    <row r="178" spans="1:9" ht="18" hidden="1" customHeight="1" x14ac:dyDescent="0.2">
      <c r="A178" s="25">
        <v>4</v>
      </c>
      <c r="B178" s="52" t="s">
        <v>151</v>
      </c>
      <c r="C178" s="37"/>
      <c r="D178" s="42">
        <v>18000</v>
      </c>
      <c r="E178" s="42">
        <f t="shared" si="27"/>
        <v>20000</v>
      </c>
      <c r="F178" s="43">
        <f t="shared" si="28"/>
        <v>1</v>
      </c>
      <c r="G178" s="42">
        <f t="shared" si="29"/>
        <v>0</v>
      </c>
      <c r="H178" s="42">
        <f>F178*E178*C178</f>
        <v>0</v>
      </c>
      <c r="I178" s="75"/>
    </row>
    <row r="179" spans="1:9" ht="18" hidden="1" customHeight="1" x14ac:dyDescent="0.2">
      <c r="A179" s="25">
        <v>5</v>
      </c>
      <c r="B179" s="52" t="s">
        <v>152</v>
      </c>
      <c r="C179" s="37"/>
      <c r="D179" s="42">
        <v>8000</v>
      </c>
      <c r="E179" s="42">
        <f t="shared" si="27"/>
        <v>8890</v>
      </c>
      <c r="F179" s="43">
        <f t="shared" si="28"/>
        <v>1</v>
      </c>
      <c r="G179" s="42">
        <f t="shared" si="29"/>
        <v>0</v>
      </c>
      <c r="H179" s="42">
        <f>F179*E179*C179</f>
        <v>0</v>
      </c>
      <c r="I179" s="75"/>
    </row>
    <row r="180" spans="1:9" ht="17" hidden="1" customHeight="1" x14ac:dyDescent="0.2">
      <c r="A180" s="25"/>
      <c r="B180" s="91" t="s">
        <v>157</v>
      </c>
      <c r="C180" s="92"/>
      <c r="D180" s="92"/>
      <c r="E180" s="92"/>
      <c r="F180" s="93"/>
      <c r="G180" s="44">
        <f>SUM(G175:G179)</f>
        <v>0</v>
      </c>
      <c r="H180" s="44">
        <f>SUM(H175:H179)</f>
        <v>0</v>
      </c>
      <c r="I180" s="75"/>
    </row>
    <row r="181" spans="1:9" ht="23" hidden="1" customHeight="1" x14ac:dyDescent="0.2">
      <c r="A181" s="34" t="s">
        <v>158</v>
      </c>
      <c r="B181" s="64"/>
      <c r="C181" s="64"/>
      <c r="D181" s="64"/>
      <c r="E181" s="64"/>
      <c r="F181" s="64"/>
      <c r="G181" s="69">
        <f>G188</f>
        <v>0</v>
      </c>
      <c r="H181" s="35"/>
      <c r="I181" s="75"/>
    </row>
    <row r="182" spans="1:9" ht="19" hidden="1" customHeight="1" x14ac:dyDescent="0.2">
      <c r="A182" s="25">
        <v>1</v>
      </c>
      <c r="B182" s="52" t="s">
        <v>159</v>
      </c>
      <c r="C182" s="37"/>
      <c r="D182" s="42">
        <v>3000</v>
      </c>
      <c r="E182" s="42">
        <f t="shared" ref="E182:E187" si="30">_xlfn.CEILING.MATH(D182+($C$10*((D182/0.9)-D182)),10,3)</f>
        <v>3340</v>
      </c>
      <c r="F182" s="43">
        <f>($C$11-1)*1/2+1</f>
        <v>1</v>
      </c>
      <c r="G182" s="42">
        <f>F182*D182*C182</f>
        <v>0</v>
      </c>
      <c r="H182" s="42">
        <f t="shared" ref="H182:H187" si="31">F182*E182*C182</f>
        <v>0</v>
      </c>
      <c r="I182" s="75"/>
    </row>
    <row r="183" spans="1:9" ht="19" hidden="1" customHeight="1" x14ac:dyDescent="0.2">
      <c r="A183" s="25">
        <v>2</v>
      </c>
      <c r="B183" s="62" t="s">
        <v>160</v>
      </c>
      <c r="C183" s="37"/>
      <c r="D183" s="42">
        <v>750</v>
      </c>
      <c r="E183" s="42">
        <f t="shared" si="30"/>
        <v>840</v>
      </c>
      <c r="F183" s="43">
        <f t="shared" ref="F183:F187" si="32">($C$11-1)*1/2+1</f>
        <v>1</v>
      </c>
      <c r="G183" s="42">
        <f t="shared" ref="G183:G187" si="33">F183*D183*C183</f>
        <v>0</v>
      </c>
      <c r="H183" s="42">
        <f t="shared" si="31"/>
        <v>0</v>
      </c>
      <c r="I183" s="75"/>
    </row>
    <row r="184" spans="1:9" ht="19" hidden="1" customHeight="1" x14ac:dyDescent="0.2">
      <c r="A184" s="25">
        <v>3</v>
      </c>
      <c r="B184" s="62" t="s">
        <v>161</v>
      </c>
      <c r="C184" s="37"/>
      <c r="D184" s="42">
        <v>1000</v>
      </c>
      <c r="E184" s="42">
        <f t="shared" si="30"/>
        <v>1120</v>
      </c>
      <c r="F184" s="43">
        <f t="shared" si="32"/>
        <v>1</v>
      </c>
      <c r="G184" s="42">
        <f t="shared" si="33"/>
        <v>0</v>
      </c>
      <c r="H184" s="42">
        <f t="shared" si="31"/>
        <v>0</v>
      </c>
      <c r="I184" s="75"/>
    </row>
    <row r="185" spans="1:9" ht="19" hidden="1" customHeight="1" x14ac:dyDescent="0.2">
      <c r="A185" s="25">
        <v>4</v>
      </c>
      <c r="B185" s="62" t="s">
        <v>162</v>
      </c>
      <c r="C185" s="37"/>
      <c r="D185" s="42">
        <v>1500</v>
      </c>
      <c r="E185" s="42">
        <f t="shared" si="30"/>
        <v>1670</v>
      </c>
      <c r="F185" s="43">
        <f t="shared" si="32"/>
        <v>1</v>
      </c>
      <c r="G185" s="42">
        <f t="shared" si="33"/>
        <v>0</v>
      </c>
      <c r="H185" s="42">
        <f t="shared" si="31"/>
        <v>0</v>
      </c>
      <c r="I185" s="75"/>
    </row>
    <row r="186" spans="1:9" ht="19" hidden="1" customHeight="1" x14ac:dyDescent="0.2">
      <c r="A186" s="25">
        <v>5</v>
      </c>
      <c r="B186" s="52" t="s">
        <v>163</v>
      </c>
      <c r="C186" s="37"/>
      <c r="D186" s="42">
        <v>15000</v>
      </c>
      <c r="E186" s="42">
        <f t="shared" si="30"/>
        <v>16670</v>
      </c>
      <c r="F186" s="43">
        <f t="shared" si="32"/>
        <v>1</v>
      </c>
      <c r="G186" s="42">
        <f t="shared" si="33"/>
        <v>0</v>
      </c>
      <c r="H186" s="42">
        <f t="shared" si="31"/>
        <v>0</v>
      </c>
      <c r="I186" s="75"/>
    </row>
    <row r="187" spans="1:9" ht="19" hidden="1" customHeight="1" x14ac:dyDescent="0.2">
      <c r="A187" s="25">
        <v>6</v>
      </c>
      <c r="B187" s="52" t="s">
        <v>152</v>
      </c>
      <c r="C187" s="37"/>
      <c r="D187" s="42">
        <v>8000</v>
      </c>
      <c r="E187" s="42">
        <f t="shared" si="30"/>
        <v>8890</v>
      </c>
      <c r="F187" s="43">
        <f t="shared" si="32"/>
        <v>1</v>
      </c>
      <c r="G187" s="42">
        <f t="shared" si="33"/>
        <v>0</v>
      </c>
      <c r="H187" s="42">
        <f t="shared" si="31"/>
        <v>0</v>
      </c>
      <c r="I187" s="75"/>
    </row>
    <row r="188" spans="1:9" ht="16" hidden="1" customHeight="1" x14ac:dyDescent="0.2">
      <c r="A188" s="25"/>
      <c r="B188" s="91" t="s">
        <v>186</v>
      </c>
      <c r="C188" s="92"/>
      <c r="D188" s="92"/>
      <c r="E188" s="92"/>
      <c r="F188" s="93"/>
      <c r="G188" s="44">
        <f>SUM(G182:G187)</f>
        <v>0</v>
      </c>
      <c r="H188" s="44">
        <f>SUM(H182:H187)</f>
        <v>0</v>
      </c>
      <c r="I188" s="75"/>
    </row>
    <row r="189" spans="1:9" ht="19" hidden="1" customHeight="1" x14ac:dyDescent="0.2">
      <c r="A189" s="34" t="s">
        <v>164</v>
      </c>
      <c r="B189" s="64"/>
      <c r="C189" s="64"/>
      <c r="D189" s="64"/>
      <c r="E189" s="64"/>
      <c r="F189" s="64"/>
      <c r="G189" s="69">
        <f>G193</f>
        <v>0</v>
      </c>
      <c r="H189" s="35"/>
      <c r="I189" s="75"/>
    </row>
    <row r="190" spans="1:9" ht="17" hidden="1" customHeight="1" x14ac:dyDescent="0.2">
      <c r="A190" s="25">
        <v>1</v>
      </c>
      <c r="B190" s="52" t="s">
        <v>165</v>
      </c>
      <c r="C190" s="37"/>
      <c r="D190" s="42">
        <v>1000</v>
      </c>
      <c r="E190" s="42">
        <f t="shared" ref="E190:E192" si="34">_xlfn.CEILING.MATH(D190+($C$10*((D190/0.9)-D190)),10,3)</f>
        <v>1120</v>
      </c>
      <c r="F190" s="43">
        <f t="shared" ref="F190:F191" si="35">($C$11-1)*1/2+1</f>
        <v>1</v>
      </c>
      <c r="G190" s="42">
        <f>F190*D190*C190</f>
        <v>0</v>
      </c>
      <c r="H190" s="42">
        <f>F190*E190*C190</f>
        <v>0</v>
      </c>
      <c r="I190" s="75"/>
    </row>
    <row r="191" spans="1:9" ht="17" hidden="1" customHeight="1" x14ac:dyDescent="0.2">
      <c r="A191" s="25">
        <v>2</v>
      </c>
      <c r="B191" s="36" t="s">
        <v>166</v>
      </c>
      <c r="C191" s="37"/>
      <c r="D191" s="42">
        <v>2000</v>
      </c>
      <c r="E191" s="42">
        <f t="shared" si="34"/>
        <v>2230</v>
      </c>
      <c r="F191" s="43">
        <f t="shared" si="35"/>
        <v>1</v>
      </c>
      <c r="G191" s="42">
        <f>F191*D191*C191</f>
        <v>0</v>
      </c>
      <c r="H191" s="42">
        <f>F191*E191*C191</f>
        <v>0</v>
      </c>
      <c r="I191" s="75"/>
    </row>
    <row r="192" spans="1:9" ht="17" hidden="1" customHeight="1" x14ac:dyDescent="0.2">
      <c r="A192" s="25">
        <v>3</v>
      </c>
      <c r="B192" s="36" t="s">
        <v>42</v>
      </c>
      <c r="C192" s="37"/>
      <c r="D192" s="42">
        <v>3000</v>
      </c>
      <c r="E192" s="42">
        <f t="shared" si="34"/>
        <v>3340</v>
      </c>
      <c r="F192" s="43">
        <v>1</v>
      </c>
      <c r="G192" s="42">
        <f t="shared" ref="G192" si="36">F192*D192*C192</f>
        <v>0</v>
      </c>
      <c r="H192" s="42">
        <f t="shared" ref="H192" si="37">F192*E192*C192</f>
        <v>0</v>
      </c>
      <c r="I192" s="75"/>
    </row>
    <row r="193" spans="1:9" ht="15" hidden="1" customHeight="1" x14ac:dyDescent="0.2">
      <c r="A193" s="25"/>
      <c r="B193" s="91" t="s">
        <v>167</v>
      </c>
      <c r="C193" s="92"/>
      <c r="D193" s="92"/>
      <c r="E193" s="92"/>
      <c r="F193" s="93"/>
      <c r="G193" s="44">
        <f>SUM(G190:G192)</f>
        <v>0</v>
      </c>
      <c r="H193" s="44">
        <f>SUM(H190:H192)</f>
        <v>0</v>
      </c>
      <c r="I193" s="75"/>
    </row>
    <row r="194" spans="1:9" ht="16" customHeight="1" x14ac:dyDescent="0.2">
      <c r="A194" s="34" t="s">
        <v>168</v>
      </c>
      <c r="B194" s="64"/>
      <c r="C194" s="64"/>
      <c r="D194" s="64"/>
      <c r="E194" s="64"/>
      <c r="F194" s="64"/>
      <c r="G194" s="69">
        <f>G210</f>
        <v>20000</v>
      </c>
      <c r="H194" s="35"/>
      <c r="I194" s="75"/>
    </row>
    <row r="195" spans="1:9" ht="19" customHeight="1" x14ac:dyDescent="0.2">
      <c r="A195" s="25">
        <v>1</v>
      </c>
      <c r="B195" s="36" t="s">
        <v>187</v>
      </c>
      <c r="C195" s="37">
        <v>1</v>
      </c>
      <c r="D195" s="42">
        <v>10000</v>
      </c>
      <c r="E195" s="42">
        <f t="shared" ref="E195:E209" si="38">_xlfn.CEILING.MATH(D195+($C$10*((D195/0.9)-D195)),10,3)</f>
        <v>11120</v>
      </c>
      <c r="F195" s="43">
        <v>1</v>
      </c>
      <c r="G195" s="42">
        <f>F195*D195*C195</f>
        <v>10000</v>
      </c>
      <c r="H195" s="42">
        <f t="shared" ref="H195:H209" si="39">F195*E195*C195</f>
        <v>11120</v>
      </c>
      <c r="I195" s="75"/>
    </row>
    <row r="196" spans="1:9" ht="19" hidden="1" customHeight="1" x14ac:dyDescent="0.2">
      <c r="A196" s="25">
        <v>2</v>
      </c>
      <c r="B196" s="40" t="s">
        <v>169</v>
      </c>
      <c r="C196" s="37"/>
      <c r="D196" s="42">
        <v>4000</v>
      </c>
      <c r="E196" s="42">
        <f t="shared" si="38"/>
        <v>4450</v>
      </c>
      <c r="F196" s="43">
        <f t="shared" ref="F196:F209" si="40">($C$11-1)*1/2+1</f>
        <v>1</v>
      </c>
      <c r="G196" s="42">
        <f t="shared" ref="G196:G209" si="41">F196*D196*C196</f>
        <v>0</v>
      </c>
      <c r="H196" s="42">
        <f t="shared" si="39"/>
        <v>0</v>
      </c>
      <c r="I196" s="75"/>
    </row>
    <row r="197" spans="1:9" ht="19" customHeight="1" x14ac:dyDescent="0.2">
      <c r="A197" s="25">
        <v>2</v>
      </c>
      <c r="B197" s="40" t="s">
        <v>170</v>
      </c>
      <c r="C197" s="37">
        <v>1</v>
      </c>
      <c r="D197" s="42">
        <v>6000</v>
      </c>
      <c r="E197" s="42">
        <f t="shared" si="38"/>
        <v>6670</v>
      </c>
      <c r="F197" s="43">
        <f t="shared" si="40"/>
        <v>1</v>
      </c>
      <c r="G197" s="42">
        <f t="shared" si="41"/>
        <v>6000</v>
      </c>
      <c r="H197" s="42">
        <f t="shared" si="39"/>
        <v>6670</v>
      </c>
      <c r="I197" s="75"/>
    </row>
    <row r="198" spans="1:9" ht="29" customHeight="1" x14ac:dyDescent="0.2">
      <c r="A198" s="25">
        <v>3</v>
      </c>
      <c r="B198" s="52" t="s">
        <v>171</v>
      </c>
      <c r="C198" s="53">
        <v>4</v>
      </c>
      <c r="D198" s="42">
        <v>250</v>
      </c>
      <c r="E198" s="42">
        <f t="shared" si="38"/>
        <v>280</v>
      </c>
      <c r="F198" s="43">
        <f t="shared" si="40"/>
        <v>1</v>
      </c>
      <c r="G198" s="42">
        <f t="shared" si="41"/>
        <v>1000</v>
      </c>
      <c r="H198" s="42">
        <f t="shared" si="39"/>
        <v>1120</v>
      </c>
      <c r="I198" s="75"/>
    </row>
    <row r="199" spans="1:9" ht="19" hidden="1" customHeight="1" x14ac:dyDescent="0.2">
      <c r="A199" s="25">
        <v>5</v>
      </c>
      <c r="B199" s="52" t="s">
        <v>172</v>
      </c>
      <c r="C199" s="53"/>
      <c r="D199" s="42">
        <v>500</v>
      </c>
      <c r="E199" s="42">
        <f t="shared" si="38"/>
        <v>560</v>
      </c>
      <c r="F199" s="43">
        <f t="shared" si="40"/>
        <v>1</v>
      </c>
      <c r="G199" s="42">
        <f t="shared" si="41"/>
        <v>0</v>
      </c>
      <c r="H199" s="42">
        <f t="shared" si="39"/>
        <v>0</v>
      </c>
      <c r="I199" s="75"/>
    </row>
    <row r="200" spans="1:9" ht="19" customHeight="1" x14ac:dyDescent="0.2">
      <c r="A200" s="25">
        <v>4</v>
      </c>
      <c r="B200" s="52" t="s">
        <v>173</v>
      </c>
      <c r="C200" s="53">
        <v>1</v>
      </c>
      <c r="D200" s="42">
        <v>3000</v>
      </c>
      <c r="E200" s="42">
        <f t="shared" si="38"/>
        <v>3340</v>
      </c>
      <c r="F200" s="43">
        <f t="shared" si="40"/>
        <v>1</v>
      </c>
      <c r="G200" s="42">
        <f t="shared" si="41"/>
        <v>3000</v>
      </c>
      <c r="H200" s="42">
        <f t="shared" si="39"/>
        <v>3340</v>
      </c>
      <c r="I200" s="75"/>
    </row>
    <row r="201" spans="1:9" ht="19" hidden="1" customHeight="1" x14ac:dyDescent="0.2">
      <c r="A201" s="25">
        <v>7</v>
      </c>
      <c r="B201" s="52" t="s">
        <v>159</v>
      </c>
      <c r="C201" s="53"/>
      <c r="D201" s="42">
        <v>3000</v>
      </c>
      <c r="E201" s="42">
        <f t="shared" si="38"/>
        <v>3340</v>
      </c>
      <c r="F201" s="43">
        <f t="shared" si="40"/>
        <v>1</v>
      </c>
      <c r="G201" s="42">
        <f t="shared" si="41"/>
        <v>0</v>
      </c>
      <c r="H201" s="42">
        <f t="shared" si="39"/>
        <v>0</v>
      </c>
      <c r="I201" s="75"/>
    </row>
    <row r="202" spans="1:9" ht="35" hidden="1" customHeight="1" x14ac:dyDescent="0.2">
      <c r="A202" s="25">
        <v>8</v>
      </c>
      <c r="B202" s="36" t="s">
        <v>174</v>
      </c>
      <c r="C202" s="37"/>
      <c r="D202" s="42">
        <v>3500</v>
      </c>
      <c r="E202" s="42">
        <f t="shared" si="38"/>
        <v>3890</v>
      </c>
      <c r="F202" s="43">
        <f t="shared" si="40"/>
        <v>1</v>
      </c>
      <c r="G202" s="42">
        <f t="shared" si="41"/>
        <v>0</v>
      </c>
      <c r="H202" s="42">
        <f t="shared" si="39"/>
        <v>0</v>
      </c>
      <c r="I202" s="75"/>
    </row>
    <row r="203" spans="1:9" ht="53" hidden="1" customHeight="1" x14ac:dyDescent="0.2">
      <c r="A203" s="25">
        <v>9</v>
      </c>
      <c r="B203" s="36" t="s">
        <v>175</v>
      </c>
      <c r="C203" s="37"/>
      <c r="D203" s="42">
        <v>7000</v>
      </c>
      <c r="E203" s="42">
        <f t="shared" si="38"/>
        <v>7780</v>
      </c>
      <c r="F203" s="43">
        <f t="shared" si="40"/>
        <v>1</v>
      </c>
      <c r="G203" s="42">
        <f t="shared" si="41"/>
        <v>0</v>
      </c>
      <c r="H203" s="42">
        <f t="shared" si="39"/>
        <v>0</v>
      </c>
      <c r="I203" s="75"/>
    </row>
    <row r="204" spans="1:9" ht="19" hidden="1" customHeight="1" x14ac:dyDescent="0.2">
      <c r="A204" s="25">
        <v>10</v>
      </c>
      <c r="B204" s="36" t="s">
        <v>176</v>
      </c>
      <c r="C204" s="37"/>
      <c r="D204" s="42">
        <v>8000</v>
      </c>
      <c r="E204" s="42">
        <f t="shared" si="38"/>
        <v>8890</v>
      </c>
      <c r="F204" s="43">
        <f t="shared" si="40"/>
        <v>1</v>
      </c>
      <c r="G204" s="42">
        <f t="shared" si="41"/>
        <v>0</v>
      </c>
      <c r="H204" s="42">
        <f t="shared" si="39"/>
        <v>0</v>
      </c>
      <c r="I204" s="75"/>
    </row>
    <row r="205" spans="1:9" ht="19" hidden="1" customHeight="1" x14ac:dyDescent="0.2">
      <c r="A205" s="25">
        <v>11</v>
      </c>
      <c r="B205" s="40" t="s">
        <v>177</v>
      </c>
      <c r="C205" s="37"/>
      <c r="D205" s="42">
        <v>1000</v>
      </c>
      <c r="E205" s="42">
        <f t="shared" si="38"/>
        <v>1120</v>
      </c>
      <c r="F205" s="43">
        <f t="shared" si="40"/>
        <v>1</v>
      </c>
      <c r="G205" s="42">
        <f t="shared" si="41"/>
        <v>0</v>
      </c>
      <c r="H205" s="42">
        <f t="shared" si="39"/>
        <v>0</v>
      </c>
      <c r="I205" s="75"/>
    </row>
    <row r="206" spans="1:9" ht="19" hidden="1" customHeight="1" x14ac:dyDescent="0.2">
      <c r="A206" s="25">
        <v>12</v>
      </c>
      <c r="B206" s="40" t="s">
        <v>178</v>
      </c>
      <c r="C206" s="37"/>
      <c r="D206" s="42">
        <v>1500</v>
      </c>
      <c r="E206" s="42">
        <f t="shared" si="38"/>
        <v>1670</v>
      </c>
      <c r="F206" s="43">
        <f t="shared" si="40"/>
        <v>1</v>
      </c>
      <c r="G206" s="42">
        <f t="shared" si="41"/>
        <v>0</v>
      </c>
      <c r="H206" s="42">
        <f t="shared" si="39"/>
        <v>0</v>
      </c>
      <c r="I206" s="75"/>
    </row>
    <row r="207" spans="1:9" ht="19" hidden="1" customHeight="1" x14ac:dyDescent="0.2">
      <c r="A207" s="25">
        <v>13</v>
      </c>
      <c r="B207" s="40" t="s">
        <v>179</v>
      </c>
      <c r="C207" s="37"/>
      <c r="D207" s="42">
        <v>1000</v>
      </c>
      <c r="E207" s="42">
        <f t="shared" si="38"/>
        <v>1120</v>
      </c>
      <c r="F207" s="43">
        <f t="shared" si="40"/>
        <v>1</v>
      </c>
      <c r="G207" s="42">
        <f t="shared" si="41"/>
        <v>0</v>
      </c>
      <c r="H207" s="42">
        <f t="shared" si="39"/>
        <v>0</v>
      </c>
      <c r="I207" s="75"/>
    </row>
    <row r="208" spans="1:9" ht="19" hidden="1" customHeight="1" x14ac:dyDescent="0.2">
      <c r="A208" s="25">
        <v>14</v>
      </c>
      <c r="B208" s="40" t="s">
        <v>180</v>
      </c>
      <c r="C208" s="37"/>
      <c r="D208" s="42">
        <v>5000</v>
      </c>
      <c r="E208" s="42">
        <f t="shared" si="38"/>
        <v>5560</v>
      </c>
      <c r="F208" s="43">
        <f t="shared" si="40"/>
        <v>1</v>
      </c>
      <c r="G208" s="42">
        <f t="shared" si="41"/>
        <v>0</v>
      </c>
      <c r="H208" s="42">
        <f t="shared" si="39"/>
        <v>0</v>
      </c>
      <c r="I208" s="75"/>
    </row>
    <row r="209" spans="1:11" ht="18" hidden="1" customHeight="1" x14ac:dyDescent="0.2">
      <c r="A209" s="25">
        <v>15</v>
      </c>
      <c r="B209" s="40" t="s">
        <v>181</v>
      </c>
      <c r="C209" s="37"/>
      <c r="D209" s="42">
        <v>3000</v>
      </c>
      <c r="E209" s="42">
        <f t="shared" si="38"/>
        <v>3340</v>
      </c>
      <c r="F209" s="43">
        <f t="shared" si="40"/>
        <v>1</v>
      </c>
      <c r="G209" s="42">
        <f t="shared" si="41"/>
        <v>0</v>
      </c>
      <c r="H209" s="42">
        <f t="shared" si="39"/>
        <v>0</v>
      </c>
      <c r="I209" s="75"/>
    </row>
    <row r="210" spans="1:11" ht="17" customHeight="1" x14ac:dyDescent="0.2">
      <c r="A210" s="26"/>
      <c r="B210" s="85" t="s">
        <v>182</v>
      </c>
      <c r="C210" s="86"/>
      <c r="D210" s="86"/>
      <c r="E210" s="86"/>
      <c r="F210" s="87"/>
      <c r="G210" s="44">
        <f>SUM(G195:G209)</f>
        <v>20000</v>
      </c>
      <c r="H210" s="44">
        <f>SUM(H195:H209)</f>
        <v>22250</v>
      </c>
      <c r="I210" s="75"/>
    </row>
    <row r="211" spans="1:11" ht="19" customHeight="1" x14ac:dyDescent="0.2">
      <c r="A211" s="88" t="s">
        <v>183</v>
      </c>
      <c r="B211" s="89"/>
      <c r="C211" s="89"/>
      <c r="D211" s="89"/>
      <c r="E211" s="89"/>
      <c r="F211" s="90"/>
      <c r="G211" s="55">
        <f>G210+G108+G98+G48+G193+G188+G180+G173+G122+G166+G130</f>
        <v>166500</v>
      </c>
      <c r="H211" s="55">
        <f>H210+H108+H98+H48+H193+H188+H180+H173+H122+H166+H130</f>
        <v>185280</v>
      </c>
      <c r="I211" s="75"/>
      <c r="J211" s="75"/>
      <c r="K211" s="75"/>
    </row>
    <row r="212" spans="1:11" hidden="1" x14ac:dyDescent="0.2">
      <c r="A212" s="80"/>
      <c r="B212" s="80"/>
      <c r="C212" s="80"/>
      <c r="D212" s="80"/>
      <c r="E212" s="80"/>
      <c r="F212" s="80"/>
      <c r="G212" s="80"/>
      <c r="H212" s="80"/>
      <c r="I212" s="74"/>
    </row>
    <row r="213" spans="1:11" ht="60" hidden="1" customHeight="1" x14ac:dyDescent="0.2">
      <c r="A213" s="81" t="s">
        <v>184</v>
      </c>
      <c r="B213" s="81"/>
      <c r="C213" s="81"/>
      <c r="D213" s="81"/>
      <c r="E213" s="81"/>
      <c r="F213" s="81"/>
    </row>
    <row r="214" spans="1:11" ht="42" hidden="1" customHeight="1" x14ac:dyDescent="0.2">
      <c r="A214" s="82" t="s">
        <v>185</v>
      </c>
      <c r="B214" s="82"/>
      <c r="C214" s="82"/>
      <c r="D214" s="82"/>
      <c r="E214" s="82"/>
      <c r="F214" s="82"/>
    </row>
    <row r="215" spans="1:11" hidden="1" x14ac:dyDescent="0.2"/>
    <row r="216" spans="1:11" hidden="1" x14ac:dyDescent="0.2"/>
    <row r="217" spans="1:11" hidden="1" x14ac:dyDescent="0.2"/>
    <row r="218" spans="1:11" hidden="1" x14ac:dyDescent="0.2"/>
    <row r="219" spans="1:11" hidden="1" x14ac:dyDescent="0.2"/>
    <row r="220" spans="1:11" hidden="1" x14ac:dyDescent="0.2"/>
    <row r="221" spans="1:11" hidden="1" x14ac:dyDescent="0.2"/>
    <row r="222" spans="1:11" hidden="1" x14ac:dyDescent="0.2"/>
    <row r="223" spans="1:11" hidden="1" x14ac:dyDescent="0.2"/>
    <row r="224" spans="1:11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</sheetData>
  <mergeCells count="16">
    <mergeCell ref="A212:H212"/>
    <mergeCell ref="A213:F213"/>
    <mergeCell ref="A214:F214"/>
    <mergeCell ref="B1:H1"/>
    <mergeCell ref="B98:F98"/>
    <mergeCell ref="B48:F48"/>
    <mergeCell ref="B108:F108"/>
    <mergeCell ref="A211:F211"/>
    <mergeCell ref="B210:F210"/>
    <mergeCell ref="B193:F193"/>
    <mergeCell ref="B188:F188"/>
    <mergeCell ref="B180:F180"/>
    <mergeCell ref="B173:F173"/>
    <mergeCell ref="B166:F166"/>
    <mergeCell ref="B130:F130"/>
    <mergeCell ref="B122:F122"/>
  </mergeCells>
  <pageMargins left="0.7" right="0.7" top="0.75" bottom="0.75" header="0.3" footer="0.3"/>
  <pageSetup paperSize="9" scale="75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Box1">
              <controlPr defaultSize="0" print="0" autoFill="0" autoLine="0" autoPict="0" macro="[0]!CheckBox1_Click">
                <anchor moveWithCells="1">
                  <from>
                    <xdr:col>1</xdr:col>
                    <xdr:colOff>2616200</xdr:colOff>
                    <xdr:row>3</xdr:row>
                    <xdr:rowOff>25400</xdr:rowOff>
                  </from>
                  <to>
                    <xdr:col>1</xdr:col>
                    <xdr:colOff>4953000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CalcTemplate">
                <anchor moveWithCells="1" sizeWithCells="1">
                  <from>
                    <xdr:col>6</xdr:col>
                    <xdr:colOff>927100</xdr:colOff>
                    <xdr:row>3</xdr:row>
                    <xdr:rowOff>139700</xdr:rowOff>
                  </from>
                  <to>
                    <xdr:col>8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Стрельченко</dc:creator>
  <cp:lastModifiedBy>Артем Стрельченко</cp:lastModifiedBy>
  <cp:lastPrinted>2026-06-26T09:12:22Z</cp:lastPrinted>
  <dcterms:created xsi:type="dcterms:W3CDTF">2026-03-19T09:15:05Z</dcterms:created>
  <dcterms:modified xsi:type="dcterms:W3CDTF">2026-06-26T12:30:07Z</dcterms:modified>
</cp:coreProperties>
</file>